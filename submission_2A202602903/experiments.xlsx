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" sheetId="1" state="visible" r:id="rId1"/>
    <sheet name="Experiments" sheetId="2" state="visible" r:id="rId2"/>
    <sheet name="Seeds" sheetId="3" state="visible" r:id="rId3"/>
    <sheet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9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SGD+momentum .05 phải vượt mốc đa số; seed thay đổi thứ tự lô nên điểm có nhiễu.</t>
        </is>
      </c>
      <c r="D2" s="32" t="inlineStr">
        <is>
          <t>ce</t>
        </is>
      </c>
      <c r="E2" s="32" t="inlineStr">
        <is>
          <t>sgd_momentum</t>
        </is>
      </c>
      <c r="F2" s="33" t="n">
        <v>0.05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2.269061832065229</v>
      </c>
      <c r="Q2" s="34" t="n">
        <v>0.2515139825989464</v>
      </c>
      <c r="R2" s="33" t="n">
        <v>20</v>
      </c>
      <c r="S2" s="34" t="n">
        <v>0.227738132724762</v>
      </c>
      <c r="T2" s="34" t="n">
        <v>0.2515139825989464</v>
      </c>
      <c r="U2" s="34" t="n">
        <v>0.8977969492911082</v>
      </c>
      <c r="V2" s="34" t="n">
        <v>0.8367810857646406</v>
      </c>
      <c r="W2" s="33" t="n">
        <v>1.438841742750037</v>
      </c>
      <c r="X2" s="33" t="n"/>
      <c r="Y2" s="33" t="b">
        <v>0</v>
      </c>
      <c r="Z2" s="34" t="n">
        <v>0.8973692589692177</v>
      </c>
      <c r="AA2" s="34" t="n">
        <v>0.8398580863807661</v>
      </c>
      <c r="AB2" s="33" t="inlineStr">
        <is>
          <t>figures/base-s1.png</t>
        </is>
      </c>
      <c r="AC2" s="33" t="inlineStr">
        <is>
          <t>Seed tác động khởi tạo và thứ tự lô. σ từ ba lần chỉ là ước lượng thô.; CPU: CUDA peak memory unavailable; train loss on fixed 50,000 samples</t>
        </is>
      </c>
      <c r="AD2" s="35" t="n">
        <f>IF(P2="","",P2-LN(7))</f>
        <v>0.3231516830099157</v>
      </c>
      <c r="AE2" s="35" t="n">
        <f>IF(OR(T2="",S2=""),"",T2-S2)</f>
        <v>0.023775849874184463</v>
      </c>
      <c r="AF2" s="35" t="n">
        <f>IF(OR(V2="",Seeds!$C$8=""),"",V2-Seeds!$C$8)</f>
        <v>0.0018243293493209745</v>
      </c>
      <c r="AG2" s="35" t="str">
        <f>IF(OR(AF2="",Seeds!$C$10=""),"",IF(ABS(AF2)&gt;Seeds!$C$10,"Có","Không"))</f>
        <v>Không</v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SGD+momentum .05 phải vượt mốc đa số; seed thay đổi thứ tự lô nên điểm có nhiễu.</t>
        </is>
      </c>
      <c r="D3" s="33" t="inlineStr">
        <is>
          <t>ce</t>
        </is>
      </c>
      <c r="E3" s="33" t="inlineStr">
        <is>
          <t>sgd_momentum</t>
        </is>
      </c>
      <c r="F3" s="33" t="n">
        <v>0.05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1.978156676742471</v>
      </c>
      <c r="Q3" s="34" t="n">
        <v>0.2541917388323152</v>
      </c>
      <c r="R3" s="33" t="n">
        <v>17</v>
      </c>
      <c r="S3" s="34" t="n">
        <v>0.2364722708034515</v>
      </c>
      <c r="T3" s="34" t="n">
        <v>0.2580316345190182</v>
      </c>
      <c r="U3" s="34" t="n">
        <v>0.897162281362277</v>
      </c>
      <c r="V3" s="34" t="n">
        <v>0.8273462503795278</v>
      </c>
      <c r="W3" s="33" t="n">
        <v>1.336379115650016</v>
      </c>
      <c r="X3" s="33" t="n"/>
      <c r="Y3" s="33" t="b">
        <v>0</v>
      </c>
      <c r="Z3" s="34" t="n"/>
      <c r="AA3" s="34" t="n"/>
      <c r="AB3" s="33" t="inlineStr">
        <is>
          <t>figures/base-s2.png</t>
        </is>
      </c>
      <c r="AC3" s="33" t="inlineStr">
        <is>
          <t>Seed tác động khởi tạo và thứ tự lô. σ từ ba lần chỉ là ước lượng thô.; CPU: CUDA peak memory unavailable; train loss on fixed 50,000 samples</t>
        </is>
      </c>
      <c r="AD3" s="35" t="n">
        <f>IF(P3="","",P3-LN(7))</f>
        <v>0.032246527687157744</v>
      </c>
      <c r="AE3" s="35" t="n">
        <f>IF(OR(T3="",S3=""),"",T3-S3)</f>
        <v>0.021559363715566632</v>
      </c>
      <c r="AF3" s="35" t="n">
        <f>IF(OR(V3="",Seeds!$C$8=""),"",V3-Seeds!$C$8)</f>
        <v>-0.007610506035791831</v>
      </c>
      <c r="AG3" s="35" t="str">
        <f>IF(OR(AF3="",Seeds!$C$10=""),"",IF(ABS(AF3)&gt;Seeds!$C$10,"Có","Không"))</f>
        <v>Không</v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SGD+momentum .05 phải vượt mốc đa số; seed thay đổi thứ tự lô nên điểm có nhiễu.</t>
        </is>
      </c>
      <c r="D4" s="33" t="inlineStr">
        <is>
          <t>ce</t>
        </is>
      </c>
      <c r="E4" s="33" t="inlineStr">
        <is>
          <t>sgd_momentum</t>
        </is>
      </c>
      <c r="F4" s="33" t="n">
        <v>0.05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1.900540004890959</v>
      </c>
      <c r="Q4" s="34" t="n">
        <v>0.2477456944784264</v>
      </c>
      <c r="R4" s="33" t="n">
        <v>19</v>
      </c>
      <c r="S4" s="34" t="n">
        <v>0.250047489490509</v>
      </c>
      <c r="T4" s="34" t="n">
        <v>0.2681271653457367</v>
      </c>
      <c r="U4" s="34" t="n">
        <v>0.9003678922570513</v>
      </c>
      <c r="V4" s="34" t="n">
        <v>0.8407429331017904</v>
      </c>
      <c r="W4" s="33" t="n">
        <v>1.400639625900021</v>
      </c>
      <c r="X4" s="33" t="n"/>
      <c r="Y4" s="33" t="b">
        <v>0</v>
      </c>
      <c r="Z4" s="34" t="n"/>
      <c r="AA4" s="34" t="n"/>
      <c r="AB4" s="33" t="inlineStr">
        <is>
          <t>figures/base-s3.png</t>
        </is>
      </c>
      <c r="AC4" s="33" t="inlineStr">
        <is>
          <t>Seed tác động khởi tạo và thứ tự lô. σ từ ba lần chỉ là ước lượng thô.; CPU: CUDA peak memory unavailable; train loss on fixed 50,000 samples</t>
        </is>
      </c>
      <c r="AD4" s="35" t="n">
        <f>IF(P4="","",P4-LN(7))</f>
        <v>-0.045370144164354365</v>
      </c>
      <c r="AE4" s="35" t="n">
        <f>IF(OR(T4="",S4=""),"",T4-S4)</f>
        <v>0.018079675855227684</v>
      </c>
      <c r="AF4" s="35" t="n">
        <f>IF(OR(V4="",Seeds!$C$8=""),"",V4-Seeds!$C$8)</f>
        <v>0.005786176686470745</v>
      </c>
      <c r="AG4" s="35" t="str">
        <f>IF(OR(AF4="",Seeds!$C$10=""),"",IF(ABS(AF4)&gt;Seeds!$C$10,"Có","Không"))</f>
        <v>Không</v>
      </c>
    </row>
    <row r="5" ht="15" customHeight="1" s="20">
      <c r="A5" s="33" t="inlineStr">
        <is>
          <t>opt-adam-lr001</t>
        </is>
      </c>
      <c r="B5" s="33" t="inlineStr">
        <is>
          <t>optimizer</t>
        </is>
      </c>
      <c r="C5" s="33" t="inlineStr">
        <is>
          <t>Adam cập nhật thích nghi có thể hội tụ nhanh hơn; mỗi optimizer cần thử nhiều lr.</t>
        </is>
      </c>
      <c r="D5" s="33" t="inlineStr">
        <is>
          <t>ce</t>
        </is>
      </c>
      <c r="E5" s="33" t="inlineStr">
        <is>
          <t>adam</t>
        </is>
      </c>
      <c r="F5" s="33" t="n">
        <v>0.001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2.269061832065229</v>
      </c>
      <c r="Q5" s="34" t="n">
        <v>0.2422780566859534</v>
      </c>
      <c r="R5" s="33" t="n">
        <v>18</v>
      </c>
      <c r="S5" s="34" t="n">
        <v>0.2303281988525391</v>
      </c>
      <c r="T5" s="34" t="n">
        <v>0.2504826949665324</v>
      </c>
      <c r="U5" s="34" t="n">
        <v>0.9032077623114821</v>
      </c>
      <c r="V5" s="34" t="n">
        <v>0.8459849738089653</v>
      </c>
      <c r="W5" s="33" t="n">
        <v>1.926308562250142</v>
      </c>
      <c r="X5" s="33" t="n"/>
      <c r="Y5" s="33" t="b">
        <v>0</v>
      </c>
      <c r="Z5" s="34" t="n"/>
      <c r="AA5" s="34" t="n"/>
      <c r="AB5" s="33" t="inlineStr">
        <is>
          <t>figures/opt-adam-lr001.png</t>
        </is>
      </c>
      <c r="AC5" s="33" t="inlineStr">
        <is>
          <t>Momentum tích luỹ hướng gradient; Adam chia bước theo moment bậc hai. So lr tốt nhất trong phạm vi đã thử, không khẳng định tối ưu toàn cục.; CPU: CUDA peak memory unavailable; train loss on fixed 50,000 samples</t>
        </is>
      </c>
      <c r="AD5" s="35" t="n">
        <f>IF(P5="","",P5-LN(7))</f>
        <v>0.3231516830099157</v>
      </c>
      <c r="AE5" s="35" t="n">
        <f>IF(OR(T5="",S5=""),"",T5-S5)</f>
        <v>0.02015449611399331</v>
      </c>
      <c r="AF5" s="35" t="n">
        <f>IF(OR(V5="",Seeds!$C$8=""),"",V5-Seeds!$C$8)</f>
        <v>0.011028217393645678</v>
      </c>
      <c r="AG5" s="35" t="str">
        <f>IF(OR(AF5="",Seeds!$C$10=""),"",IF(ABS(AF5)&gt;Seeds!$C$10,"Có","Không"))</f>
        <v>Không</v>
      </c>
    </row>
    <row r="6" ht="15" customHeight="1" s="20">
      <c r="A6" s="33" t="inlineStr">
        <is>
          <t>opt-adam-lr003</t>
        </is>
      </c>
      <c r="B6" s="33" t="inlineStr">
        <is>
          <t>optimizer</t>
        </is>
      </c>
      <c r="C6" s="33" t="inlineStr">
        <is>
          <t>Adam cập nhật thích nghi có thể hội tụ nhanh hơn; mỗi optimizer cần thử nhiều lr.</t>
        </is>
      </c>
      <c r="D6" s="33" t="inlineStr">
        <is>
          <t>ce</t>
        </is>
      </c>
      <c r="E6" s="33" t="inlineStr">
        <is>
          <t>adam</t>
        </is>
      </c>
      <c r="F6" s="33" t="n">
        <v>0.003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2.269061832065229</v>
      </c>
      <c r="Q6" s="34" t="n">
        <v>0.209469188920887</v>
      </c>
      <c r="R6" s="33" t="n">
        <v>20</v>
      </c>
      <c r="S6" s="34" t="n">
        <v>0.1802865409135818</v>
      </c>
      <c r="T6" s="34" t="n">
        <v>0.209469188920887</v>
      </c>
      <c r="U6" s="34" t="n">
        <v>0.9180095092618489</v>
      </c>
      <c r="V6" s="34" t="n">
        <v>0.8779171445095677</v>
      </c>
      <c r="W6" s="33" t="n">
        <v>1.706916611350061</v>
      </c>
      <c r="X6" s="33" t="n"/>
      <c r="Y6" s="33" t="b">
        <v>0</v>
      </c>
      <c r="Z6" s="34" t="n">
        <v>0.9159057855649165</v>
      </c>
      <c r="AA6" s="34" t="n">
        <v>0.8776600357698733</v>
      </c>
      <c r="AB6" s="33" t="inlineStr">
        <is>
          <t>figures/opt-adam-lr003.png</t>
        </is>
      </c>
      <c r="AC6" s="33" t="inlineStr">
        <is>
          <t>Momentum tích luỹ hướng gradient; Adam chia bước theo moment bậc hai. So lr tốt nhất trong phạm vi đã thử, không khẳng định tối ưu toàn cục.; CPU: CUDA peak memory unavailable; train loss on fixed 50,000 samples</t>
        </is>
      </c>
      <c r="AD6" s="35" t="n">
        <f>IF(P6="","",P6-LN(7))</f>
        <v>0.3231516830099157</v>
      </c>
      <c r="AE6" s="35" t="n">
        <f>IF(OR(T6="",S6=""),"",T6-S6)</f>
        <v>0.029182648007305134</v>
      </c>
      <c r="AF6" s="35" t="n">
        <f>IF(OR(V6="",Seeds!$C$8=""),"",V6-Seeds!$C$8)</f>
        <v>0.04296038809424807</v>
      </c>
      <c r="AG6" s="35" t="str">
        <f>IF(OR(AF6="",Seeds!$C$10=""),"",IF(ABS(AF6)&gt;Seeds!$C$10,"Có","Không"))</f>
        <v>Có</v>
      </c>
    </row>
    <row r="7" ht="15" customHeight="1" s="20">
      <c r="A7" s="33" t="inlineStr">
        <is>
          <t>opt-sgdm-lr01</t>
        </is>
      </c>
      <c r="B7" s="33" t="inlineStr">
        <is>
          <t>optimizer</t>
        </is>
      </c>
      <c r="C7" s="33" t="inlineStr">
        <is>
          <t>Adam cập nhật thích nghi có thể hội tụ nhanh hơn; mỗi optimizer cần thử nhiều lr.</t>
        </is>
      </c>
      <c r="D7" s="33" t="inlineStr">
        <is>
          <t>ce</t>
        </is>
      </c>
      <c r="E7" s="33" t="inlineStr">
        <is>
          <t>sgd_momentum</t>
        </is>
      </c>
      <c r="F7" s="33" t="n">
        <v>0.01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inlineStr">
        <is>
          <t>none</t>
        </is>
      </c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2.269061832065229</v>
      </c>
      <c r="Q7" s="34" t="n">
        <v>0.3172354292902652</v>
      </c>
      <c r="R7" s="33" t="n">
        <v>19</v>
      </c>
      <c r="S7" s="34" t="n">
        <v>0.3191647727394104</v>
      </c>
      <c r="T7" s="34" t="n">
        <v>0.3297335184521171</v>
      </c>
      <c r="U7" s="34" t="n">
        <v>0.8716679933736365</v>
      </c>
      <c r="V7" s="34" t="n">
        <v>0.764900707059572</v>
      </c>
      <c r="W7" s="33" t="n">
        <v>1.562103317950186</v>
      </c>
      <c r="X7" s="33" t="n"/>
      <c r="Y7" s="33" t="b">
        <v>0</v>
      </c>
      <c r="Z7" s="34" t="n"/>
      <c r="AA7" s="34" t="n"/>
      <c r="AB7" s="33" t="inlineStr">
        <is>
          <t>figures/opt-sgdm-lr01.png</t>
        </is>
      </c>
      <c r="AC7" s="33" t="inlineStr">
        <is>
          <t>Momentum tích luỹ hướng gradient; Adam chia bước theo moment bậc hai. So lr tốt nhất trong phạm vi đã thử, không khẳng định tối ưu toàn cục.; CPU: CUDA peak memory unavailable; train loss on fixed 50,000 samples</t>
        </is>
      </c>
      <c r="AD7" s="35" t="n">
        <f>IF(P7="","",P7-LN(7))</f>
        <v>0.3231516830099157</v>
      </c>
      <c r="AE7" s="35" t="n">
        <f>IF(OR(T7="",S7=""),"",T7-S7)</f>
        <v>0.010568745712706717</v>
      </c>
      <c r="AF7" s="35" t="n">
        <f>IF(OR(V7="",Seeds!$C$8=""),"",V7-Seeds!$C$8)</f>
        <v>-0.07005604935574761</v>
      </c>
      <c r="AG7" s="35" t="str">
        <f>IF(OR(AF7="",Seeds!$C$10=""),"",IF(ABS(AF7)&gt;Seeds!$C$10,"Có","Không"))</f>
        <v>Có</v>
      </c>
    </row>
    <row r="8" ht="15" customHeight="1" s="20">
      <c r="A8" s="33" t="inlineStr">
        <is>
          <t>opt-sgdm-lr10</t>
        </is>
      </c>
      <c r="B8" s="33" t="inlineStr">
        <is>
          <t>optimizer</t>
        </is>
      </c>
      <c r="C8" s="33" t="inlineStr">
        <is>
          <t>Adam cập nhật thích nghi có thể hội tụ nhanh hơn; mỗi optimizer cần thử nhiều lr.</t>
        </is>
      </c>
      <c r="D8" s="33" t="inlineStr">
        <is>
          <t>ce</t>
        </is>
      </c>
      <c r="E8" s="33" t="inlineStr">
        <is>
          <t>sgd_momentum</t>
        </is>
      </c>
      <c r="F8" s="33" t="n">
        <v>0.1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inlineStr">
        <is>
          <t>none</t>
        </is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2.269061832065229</v>
      </c>
      <c r="Q8" s="34" t="n">
        <v>0.2320598130121009</v>
      </c>
      <c r="R8" s="33" t="n">
        <v>20</v>
      </c>
      <c r="S8" s="34" t="n">
        <v>0.2074978485107422</v>
      </c>
      <c r="T8" s="34" t="n">
        <v>0.2320598130121009</v>
      </c>
      <c r="U8" s="34" t="n">
        <v>0.9068544136313763</v>
      </c>
      <c r="V8" s="34" t="n">
        <v>0.8546047010953277</v>
      </c>
      <c r="W8" s="33" t="n">
        <v>1.560107741799857</v>
      </c>
      <c r="X8" s="33" t="n"/>
      <c r="Y8" s="33" t="b">
        <v>0</v>
      </c>
      <c r="Z8" s="34" t="n"/>
      <c r="AA8" s="34" t="n"/>
      <c r="AB8" s="33" t="inlineStr">
        <is>
          <t>figures/opt-sgdm-lr10.png</t>
        </is>
      </c>
      <c r="AC8" s="33" t="inlineStr">
        <is>
          <t>Momentum tích luỹ hướng gradient; Adam chia bước theo moment bậc hai. So lr tốt nhất trong phạm vi đã thử, không khẳng định tối ưu toàn cục.; CPU: CUDA peak memory unavailable; train loss on fixed 50,000 samples</t>
        </is>
      </c>
      <c r="AD8" s="35" t="n">
        <f>IF(P8="","",P8-LN(7))</f>
        <v>0.3231516830099157</v>
      </c>
      <c r="AE8" s="35" t="n">
        <f>IF(OR(T8="",S8=""),"",T8-S8)</f>
        <v>0.024561964501358696</v>
      </c>
      <c r="AF8" s="35" t="n">
        <f>IF(OR(V8="",Seeds!$C$8=""),"",V8-Seeds!$C$8)</f>
        <v>0.019647944680008078</v>
      </c>
      <c r="AG8" s="35" t="str">
        <f>IF(OR(AF8="",Seeds!$C$10=""),"",IF(ABS(AF8)&gt;Seeds!$C$10,"Có","Không"))</f>
        <v>Có</v>
      </c>
    </row>
    <row r="9" ht="15" customHeight="1" s="20">
      <c r="A9" s="33" t="inlineStr">
        <is>
          <t>loss-mse</t>
        </is>
      </c>
      <c r="B9" s="33" t="inlineStr">
        <is>
          <t>loss</t>
        </is>
      </c>
      <c r="C9" s="33" t="inlineStr">
        <is>
          <t>MSE logit/one-hot dự kiến học chậm hơn CE vì không trực tiếp tối ưu log-likelihood.</t>
        </is>
      </c>
      <c r="D9" s="33" t="inlineStr">
        <is>
          <t>mse</t>
        </is>
      </c>
      <c r="E9" s="33" t="inlineStr">
        <is>
          <t>sgd_momentum</t>
        </is>
      </c>
      <c r="F9" s="33" t="n">
        <v>0.05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inlineStr">
        <is>
          <t>none</t>
        </is>
      </c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0.6358503170143304</v>
      </c>
      <c r="Q9" s="34" t="n">
        <v>0.03242637557210696</v>
      </c>
      <c r="R9" s="33" t="n">
        <v>20</v>
      </c>
      <c r="S9" s="34" t="n">
        <v>0.0317460360109806</v>
      </c>
      <c r="T9" s="34" t="n">
        <v>0.03242637557210696</v>
      </c>
      <c r="U9" s="34" t="n">
        <v>0.8554140401454358</v>
      </c>
      <c r="V9" s="34" t="n">
        <v>0.6839029965778897</v>
      </c>
      <c r="W9" s="33" t="n">
        <v>1.451776583299988</v>
      </c>
      <c r="X9" s="33" t="n"/>
      <c r="Y9" s="33" t="b">
        <v>0</v>
      </c>
      <c r="Z9" s="34" t="n"/>
      <c r="AA9" s="34" t="n"/>
      <c r="AB9" s="33" t="inlineStr">
        <is>
          <t>figures/loss-mse.png</t>
        </is>
      </c>
      <c r="AC9" s="33" t="inlineStr">
        <is>
          <t>CE có gradient logit p-y. MSE ở đây dùng logit thô, mean trên 7 tọa độ: gradient 2(z-onehot)/7; không so trị số loss giữa CE và MSE.; CPU: CUDA peak memory unavailable; train loss on fixed 50,000 samples</t>
        </is>
      </c>
      <c r="AD9" s="35" t="n">
        <f>IF(P9="","",P9-LN(7))</f>
        <v>-1.3100598320409829</v>
      </c>
      <c r="AE9" s="35" t="n">
        <f>IF(OR(T9="",S9=""),"",T9-S9)</f>
        <v>0.0006803395611263557</v>
      </c>
      <c r="AF9" s="35" t="n">
        <f>IF(OR(V9="",Seeds!$C$8=""),"",V9-Seeds!$C$8)</f>
        <v>-0.15105375983742997</v>
      </c>
      <c r="AG9" s="35" t="str">
        <f>IF(OR(AF9="",Seeds!$C$10=""),"",IF(ABS(AF9)&gt;Seeds!$C$10,"Có","Không"))</f>
        <v>Có</v>
      </c>
    </row>
    <row r="10" ht="15" customHeight="1" s="20">
      <c r="A10" s="33" t="inlineStr">
        <is>
          <t>lr-high</t>
        </is>
      </c>
      <c r="B10" s="33" t="inlineStr">
        <is>
          <t>hparam</t>
        </is>
      </c>
      <c r="C10" s="33" t="inlineStr">
        <is>
          <t>lr cao .5 có thể làm loss/gradient dao động hơn .05; chưa chắc phân kỳ.</t>
        </is>
      </c>
      <c r="D10" s="33" t="inlineStr">
        <is>
          <t>ce</t>
        </is>
      </c>
      <c r="E10" s="33" t="inlineStr">
        <is>
          <t>sgd_momentum</t>
        </is>
      </c>
      <c r="F10" s="33" t="n">
        <v>0.5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2.269061832065229</v>
      </c>
      <c r="Q10" s="34" t="n">
        <v>0.2602761616364411</v>
      </c>
      <c r="R10" s="33" t="n">
        <v>20</v>
      </c>
      <c r="S10" s="34" t="n">
        <v>0.2314500567436218</v>
      </c>
      <c r="T10" s="34" t="n">
        <v>0.2602761616364411</v>
      </c>
      <c r="U10" s="34" t="n">
        <v>0.8994427830726534</v>
      </c>
      <c r="V10" s="34" t="n">
        <v>0.8299205055676406</v>
      </c>
      <c r="W10" s="33" t="n">
        <v>1.554864506500098</v>
      </c>
      <c r="X10" s="33" t="n"/>
      <c r="Y10" s="33" t="b">
        <v>0</v>
      </c>
      <c r="Z10" s="34" t="n"/>
      <c r="AA10" s="34" t="n"/>
      <c r="AB10" s="33" t="inlineStr">
        <is>
          <t>figures/lr-high.png</t>
        </is>
      </c>
      <c r="AC10" s="33" t="inlineStr">
        <is>
          <t>Tăng lr làm bước cập nhật lớn hơn; cùng 20 epoch và batch 512 giữ số bước như nhau.; CPU: CUDA peak memory unavailable; train loss on fixed 50,000 samples</t>
        </is>
      </c>
      <c r="AD10" s="35" t="n">
        <f>IF(P10="","",P10-LN(7))</f>
        <v>0.3231516830099157</v>
      </c>
      <c r="AE10" s="35" t="n">
        <f>IF(OR(T10="",S10=""),"",T10-S10)</f>
        <v>0.028826104892819254</v>
      </c>
      <c r="AF10" s="35" t="n">
        <f>IF(OR(V10="",Seeds!$C$8=""),"",V10-Seeds!$C$8)</f>
        <v>-0.0050362508476790024</v>
      </c>
      <c r="AG10" s="35" t="str">
        <f>IF(OR(AF10="",Seeds!$C$10=""),"",IF(ABS(AF10)&gt;Seeds!$C$10,"Có","Không"))</f>
        <v>Không</v>
      </c>
    </row>
    <row r="11" ht="15" customHeight="1" s="20">
      <c r="A11" s="33" t="inlineStr">
        <is>
          <t>dropout-q02</t>
        </is>
      </c>
      <c r="B11" s="33" t="inlineStr">
        <is>
          <t>dropout</t>
        </is>
      </c>
      <c r="C11" s="33" t="inlineStr">
        <is>
          <t>q=.2 có thể giảm gap train–val nhưng làm chậm học nếu baseline chưa quá khớp.</t>
        </is>
      </c>
      <c r="D11" s="33" t="inlineStr">
        <is>
          <t>ce</t>
        </is>
      </c>
      <c r="E11" s="33" t="inlineStr">
        <is>
          <t>sgd_momentum</t>
        </is>
      </c>
      <c r="F11" s="33" t="n">
        <v>0.05</v>
      </c>
      <c r="G11" s="33" t="n">
        <v>0</v>
      </c>
      <c r="H11" s="33" t="n">
        <v>512</v>
      </c>
      <c r="I11" s="33" t="n">
        <v>20</v>
      </c>
      <c r="J11" s="33" t="inlineStr">
        <is>
          <t>256-128</t>
        </is>
      </c>
      <c r="K11" s="33" t="n">
        <v>0.2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2.269061832065229</v>
      </c>
      <c r="Q11" s="34" t="n">
        <v>0.3080028582197856</v>
      </c>
      <c r="R11" s="33" t="n">
        <v>19</v>
      </c>
      <c r="S11" s="34" t="n">
        <v>0.3015372515869141</v>
      </c>
      <c r="T11" s="34" t="n">
        <v>0.3094669896288169</v>
      </c>
      <c r="U11" s="34" t="n">
        <v>0.8760246122071385</v>
      </c>
      <c r="V11" s="34" t="n">
        <v>0.794954882660331</v>
      </c>
      <c r="W11" s="33" t="n">
        <v>3.237279027299837</v>
      </c>
      <c r="X11" s="33" t="n"/>
      <c r="Y11" s="33" t="b">
        <v>0</v>
      </c>
      <c r="Z11" s="34" t="n"/>
      <c r="AA11" s="34" t="n"/>
      <c r="AB11" s="33" t="inlineStr">
        <is>
          <t>figures/dropout-q02.png</t>
        </is>
      </c>
      <c r="AC11" s="33" t="inlineStr">
        <is>
          <t>Dropout tăng nhiễu lúc train; cả train loss và val loss đều đo eval mode. Gap cuối dương là dấu hiệu cần xét, không đủ để kết luận mọi regularization có lợi.; CPU: CUDA peak memory unavailable; train loss on fixed 50,000 samples</t>
        </is>
      </c>
      <c r="AD11" s="35" t="n">
        <f>IF(P11="","",P11-LN(7))</f>
        <v>0.3231516830099157</v>
      </c>
      <c r="AE11" s="35" t="n">
        <f>IF(OR(T11="",S11=""),"",T11-S11)</f>
        <v>0.007929738041902834</v>
      </c>
      <c r="AF11" s="35" t="n">
        <f>IF(OR(V11="",Seeds!$C$8=""),"",V11-Seeds!$C$8)</f>
        <v>-0.04000187375498865</v>
      </c>
      <c r="AG11" s="35" t="str">
        <f>IF(OR(AF11="",Seeds!$C$10=""),"",IF(ABS(AF11)&gt;Seeds!$C$10,"Có","Không"))</f>
        <v>Có</v>
      </c>
    </row>
    <row r="12" ht="15" customHeight="1" s="20">
      <c r="A12" s="33" t="inlineStr">
        <is>
          <t>clip-high</t>
        </is>
      </c>
      <c r="B12" s="33" t="inlineStr">
        <is>
          <t>clipping</t>
        </is>
      </c>
      <c r="C12" s="33" t="inlineStr">
        <is>
          <t>Cắt ở phân vị 90% gradient baseline; có thể giảm gai ở lr cao, không chắc tăng F1.</t>
        </is>
      </c>
      <c r="D12" s="33" t="inlineStr">
        <is>
          <t>ce</t>
        </is>
      </c>
      <c r="E12" s="33" t="inlineStr">
        <is>
          <t>sgd_momentum</t>
        </is>
      </c>
      <c r="F12" s="33" t="n">
        <v>0.5</v>
      </c>
      <c r="G12" s="33" t="n">
        <v>0</v>
      </c>
      <c r="H12" s="33" t="n">
        <v>512</v>
      </c>
      <c r="I12" s="33" t="n">
        <v>20</v>
      </c>
      <c r="J12" s="33" t="inlineStr">
        <is>
          <t>256-128</t>
        </is>
      </c>
      <c r="K12" s="33" t="n">
        <v>0</v>
      </c>
      <c r="L12" s="33" t="n">
        <v>1.047024178504944</v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2.269061832065229</v>
      </c>
      <c r="Q12" s="34" t="n">
        <v>0.2364767445076025</v>
      </c>
      <c r="R12" s="33" t="n">
        <v>19</v>
      </c>
      <c r="S12" s="34" t="n">
        <v>0.2102588636255264</v>
      </c>
      <c r="T12" s="34" t="n">
        <v>0.23828383365733</v>
      </c>
      <c r="U12" s="34" t="n">
        <v>0.9062520169531637</v>
      </c>
      <c r="V12" s="34" t="n">
        <v>0.8480175184328045</v>
      </c>
      <c r="W12" s="33" t="n">
        <v>1.520213834449942</v>
      </c>
      <c r="X12" s="33" t="n"/>
      <c r="Y12" s="33" t="b">
        <v>0</v>
      </c>
      <c r="Z12" s="34" t="n"/>
      <c r="AA12" s="34" t="n"/>
      <c r="AB12" s="33" t="inlineStr">
        <is>
          <t>figures/clip-high.png</t>
        </is>
      </c>
      <c r="AC12" s="33" t="inlineStr">
        <is>
          <t>Global L2 clipping nhân gradient với min(1,c/||g||); giữ hướng nhưng giảm bước. Nó không sửa được nhãn sai hoặc lr quá nhỏ.; CPU: CUDA peak memory unavailable; train loss on fixed 50,000 samples</t>
        </is>
      </c>
      <c r="AD12" s="35" t="n">
        <f>IF(P12="","",P12-LN(7))</f>
        <v>0.3231516830099157</v>
      </c>
      <c r="AE12" s="35" t="n">
        <f>IF(OR(T12="",S12=""),"",T12-S12)</f>
        <v>0.028024970031803598</v>
      </c>
      <c r="AF12" s="35" t="n">
        <f>IF(OR(V12="",Seeds!$C$8=""),"",V12-Seeds!$C$8)</f>
        <v>0.01306076201748485</v>
      </c>
      <c r="AG12" s="35" t="str">
        <f>IF(OR(AF12="",Seeds!$C$10=""),"",IF(ABS(AF12)&gt;Seeds!$C$10,"Có","Không"))</f>
        <v>Không</v>
      </c>
    </row>
    <row r="13" ht="15" customHeight="1" s="20">
      <c r="A13" s="33" t="inlineStr">
        <is>
          <t>clip-normal</t>
        </is>
      </c>
      <c r="B13" s="33" t="inlineStr">
        <is>
          <t>clipping</t>
        </is>
      </c>
      <c r="C13" s="33" t="inlineStr">
        <is>
          <t>Cắt ở phân vị 90% gradient baseline; có thể giảm gai ở lr cao, không chắc tăng F1.</t>
        </is>
      </c>
      <c r="D13" s="33" t="inlineStr">
        <is>
          <t>ce</t>
        </is>
      </c>
      <c r="E13" s="33" t="inlineStr">
        <is>
          <t>sgd_momentum</t>
        </is>
      </c>
      <c r="F13" s="33" t="n">
        <v>0.05</v>
      </c>
      <c r="G13" s="33" t="n">
        <v>0</v>
      </c>
      <c r="H13" s="33" t="n">
        <v>512</v>
      </c>
      <c r="I13" s="33" t="n">
        <v>20</v>
      </c>
      <c r="J13" s="33" t="inlineStr">
        <is>
          <t>256-128</t>
        </is>
      </c>
      <c r="K13" s="33" t="n">
        <v>0</v>
      </c>
      <c r="L13" s="33" t="n">
        <v>1.047024178504944</v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2.269061832065229</v>
      </c>
      <c r="Q13" s="34" t="n">
        <v>0.2500492416083234</v>
      </c>
      <c r="R13" s="33" t="n">
        <v>19</v>
      </c>
      <c r="S13" s="34" t="n">
        <v>0.2430036143016815</v>
      </c>
      <c r="T13" s="34" t="n">
        <v>0.2660465757000383</v>
      </c>
      <c r="U13" s="34" t="n">
        <v>0.9001742647533401</v>
      </c>
      <c r="V13" s="34" t="n">
        <v>0.8425144569485882</v>
      </c>
      <c r="W13" s="33" t="n">
        <v>1.473916345299995</v>
      </c>
      <c r="X13" s="33" t="n"/>
      <c r="Y13" s="33" t="b">
        <v>0</v>
      </c>
      <c r="Z13" s="34" t="n"/>
      <c r="AA13" s="34" t="n"/>
      <c r="AB13" s="33" t="inlineStr">
        <is>
          <t>figures/clip-normal.png</t>
        </is>
      </c>
      <c r="AC13" s="33" t="inlineStr">
        <is>
          <t>Global L2 clipping nhân gradient với min(1,c/||g||); giữ hướng nhưng giảm bước. Nó không sửa được nhãn sai hoặc lr quá nhỏ.; CPU: CUDA peak memory unavailable; train loss on fixed 50,000 samples</t>
        </is>
      </c>
      <c r="AD13" s="35" t="n">
        <f>IF(P13="","",P13-LN(7))</f>
        <v>0.3231516830099157</v>
      </c>
      <c r="AE13" s="35" t="n">
        <f>IF(OR(T13="",S13=""),"",T13-S13)</f>
        <v>0.023042961398356737</v>
      </c>
      <c r="AF13" s="35" t="n">
        <f>IF(OR(V13="",Seeds!$C$8=""),"",V13-Seeds!$C$8)</f>
        <v>0.007557700533268541</v>
      </c>
      <c r="AG13" s="35" t="str">
        <f>IF(OR(AF13="",Seeds!$C$10=""),"",IF(ABS(AF13)&gt;Seeds!$C$10,"Có","Không"))</f>
        <v>Không</v>
      </c>
    </row>
    <row r="14" ht="15" customHeight="1" s="20">
      <c r="A14" s="33" t="inlineStr">
        <is>
          <t>amp-bf16</t>
        </is>
      </c>
      <c r="B14" s="33" t="inlineStr">
        <is>
          <t>amp</t>
        </is>
      </c>
      <c r="C14" s="33" t="inlineStr">
        <is>
          <t>BF16 CPU có thể nhanh hơn nếu CPU hỗ trợ; F1 có thể lệch do làm tròn.</t>
        </is>
      </c>
      <c r="D14" s="33" t="inlineStr">
        <is>
          <t>ce</t>
        </is>
      </c>
      <c r="E14" s="33" t="inlineStr">
        <is>
          <t>sgd_momentum</t>
        </is>
      </c>
      <c r="F14" s="33" t="n">
        <v>0.05</v>
      </c>
      <c r="G14" s="33" t="n">
        <v>0</v>
      </c>
      <c r="H14" s="33" t="n">
        <v>512</v>
      </c>
      <c r="I14" s="33" t="n">
        <v>20</v>
      </c>
      <c r="J14" s="33" t="inlineStr">
        <is>
          <t>256-128</t>
        </is>
      </c>
      <c r="K14" s="33" t="n">
        <v>0</v>
      </c>
      <c r="L14" s="33" t="inlineStr">
        <is>
          <t>none</t>
        </is>
      </c>
      <c r="M14" s="33" t="inlineStr">
        <is>
          <t>bf16</t>
        </is>
      </c>
      <c r="N14" s="33" t="inlineStr">
        <is>
          <t>he</t>
        </is>
      </c>
      <c r="O14" s="33" t="n">
        <v>1</v>
      </c>
      <c r="P14" s="34" t="n">
        <v>2.269061832065229</v>
      </c>
      <c r="Q14" s="34" t="n">
        <v>0.2525126193908038</v>
      </c>
      <c r="R14" s="33" t="n">
        <v>19</v>
      </c>
      <c r="S14" s="34" t="n">
        <v>0.2441250011920929</v>
      </c>
      <c r="T14" s="34" t="n">
        <v>0.2660003416006989</v>
      </c>
      <c r="U14" s="34" t="n">
        <v>0.8975495363696995</v>
      </c>
      <c r="V14" s="34" t="n">
        <v>0.8401621252224256</v>
      </c>
      <c r="W14" s="33" t="n">
        <v>3.308530483550066</v>
      </c>
      <c r="X14" s="33" t="n"/>
      <c r="Y14" s="33" t="b">
        <v>0</v>
      </c>
      <c r="Z14" s="34" t="n"/>
      <c r="AA14" s="34" t="n"/>
      <c r="AB14" s="33" t="inlineStr">
        <is>
          <t>figures/amp-bf16.png</t>
        </is>
      </c>
      <c r="AC14" s="33" t="inlineStr">
        <is>
          <t>Autocast BF16 chỉ bọc forward/loss, tham số và optimizer vẫn FP32. CPU không có CUDA nên không đo FP16 hay CUDA peak memory; thời gian phụ thuộc phần cứng.; CPU: CUDA peak memory unavailable; train loss on fixed 50,000 samples</t>
        </is>
      </c>
      <c r="AD14" s="35" t="n">
        <f>IF(P14="","",P14-LN(7))</f>
        <v>0.3231516830099157</v>
      </c>
      <c r="AE14" s="35" t="n">
        <f>IF(OR(T14="",S14=""),"",T14-S14)</f>
        <v>0.021875340408606003</v>
      </c>
      <c r="AF14" s="35" t="n">
        <f>IF(OR(V14="",Seeds!$C$8=""),"",V14-Seeds!$C$8)</f>
        <v>0.005205368807105981</v>
      </c>
      <c r="AG14" s="35" t="str">
        <f>IF(OR(AF14="",Seeds!$C$10=""),"",IF(ABS(AF14)&gt;Seeds!$C$10,"Có","Không"))</f>
        <v>Không</v>
      </c>
    </row>
    <row r="15" ht="15" customHeight="1" s="20">
      <c r="A15" s="33" t="inlineStr">
        <is>
          <t>init-xavier</t>
        </is>
      </c>
      <c r="B15" s="33" t="inlineStr">
        <is>
          <t>init</t>
        </is>
      </c>
      <c r="C15" s="33" t="inlineStr">
        <is>
          <t>Xavier có phương sai nhỏ hơn He; zeros giữ đối xứng và chỉ học bias đầu ra.</t>
        </is>
      </c>
      <c r="D15" s="33" t="inlineStr">
        <is>
          <t>ce</t>
        </is>
      </c>
      <c r="E15" s="33" t="inlineStr">
        <is>
          <t>sgd_momentum</t>
        </is>
      </c>
      <c r="F15" s="33" t="n">
        <v>0.05</v>
      </c>
      <c r="G15" s="33" t="n">
        <v>0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</v>
      </c>
      <c r="L15" s="33" t="inlineStr">
        <is>
          <t>none</t>
        </is>
      </c>
      <c r="M15" s="33" t="inlineStr">
        <is>
          <t>fp32</t>
        </is>
      </c>
      <c r="N15" s="33" t="inlineStr">
        <is>
          <t>xavier</t>
        </is>
      </c>
      <c r="O15" s="33" t="n">
        <v>1</v>
      </c>
      <c r="P15" s="34" t="n">
        <v>2.022176228985083</v>
      </c>
      <c r="Q15" s="34" t="n">
        <v>0.2579456248886934</v>
      </c>
      <c r="R15" s="33" t="n">
        <v>17</v>
      </c>
      <c r="S15" s="34" t="n">
        <v>0.2420482712411881</v>
      </c>
      <c r="T15" s="34" t="n">
        <v>0.2631992767757404</v>
      </c>
      <c r="U15" s="34" t="n">
        <v>0.8958499171704567</v>
      </c>
      <c r="V15" s="34" t="n">
        <v>0.8292370811099576</v>
      </c>
      <c r="W15" s="33" t="n">
        <v>1.434916435750165</v>
      </c>
      <c r="X15" s="33" t="n"/>
      <c r="Y15" s="33" t="b">
        <v>0</v>
      </c>
      <c r="Z15" s="34" t="n"/>
      <c r="AA15" s="34" t="n"/>
      <c r="AB15" s="33" t="inlineStr">
        <is>
          <t>figures/init-xavier.png</t>
        </is>
      </c>
      <c r="AC15" s="33" t="inlineStr">
        <is>
          <t>ReLU cần phá đối xứng: zeros làm gradient các lớp ẩn bằng 0. He dùng Var=2/fan_in; Xavier dùng 2/(fan_in+fan_out). Stats đo sau từng Linear.; CPU: CUDA peak memory unavailable; train loss on fixed 50,000 samples</t>
        </is>
      </c>
      <c r="AD15" s="35" t="n">
        <f>IF(P15="","",P15-LN(7))</f>
        <v>0.07626607992976964</v>
      </c>
      <c r="AE15" s="35" t="n">
        <f>IF(OR(T15="",S15=""),"",T15-S15)</f>
        <v>0.021151005534552347</v>
      </c>
      <c r="AF15" s="35" t="n">
        <f>IF(OR(V15="",Seeds!$C$8=""),"",V15-Seeds!$C$8)</f>
        <v>-0.005719675305361993</v>
      </c>
      <c r="AG15" s="35" t="str">
        <f>IF(OR(AF15="",Seeds!$C$10=""),"",IF(ABS(AF15)&gt;Seeds!$C$10,"Có","Không"))</f>
        <v>Không</v>
      </c>
    </row>
    <row r="16" ht="15" customHeight="1" s="20">
      <c r="A16" s="33" t="inlineStr">
        <is>
          <t>init-zeros</t>
        </is>
      </c>
      <c r="B16" s="33" t="inlineStr">
        <is>
          <t>init</t>
        </is>
      </c>
      <c r="C16" s="33" t="inlineStr">
        <is>
          <t>Xavier có phương sai nhỏ hơn He; zeros giữ đối xứng và chỉ học bias đầu ra.</t>
        </is>
      </c>
      <c r="D16" s="33" t="inlineStr">
        <is>
          <t>ce</t>
        </is>
      </c>
      <c r="E16" s="33" t="inlineStr">
        <is>
          <t>sgd_momentum</t>
        </is>
      </c>
      <c r="F16" s="33" t="n">
        <v>0.05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</v>
      </c>
      <c r="L16" s="33" t="inlineStr">
        <is>
          <t>none</t>
        </is>
      </c>
      <c r="M16" s="33" t="inlineStr">
        <is>
          <t>fp32</t>
        </is>
      </c>
      <c r="N16" s="33" t="inlineStr">
        <is>
          <t>zeros</t>
        </is>
      </c>
      <c r="O16" s="33" t="n">
        <v>1</v>
      </c>
      <c r="P16" s="34" t="n">
        <v>1.94590961933136</v>
      </c>
      <c r="Q16" s="34" t="n">
        <v>1.20518038173399</v>
      </c>
      <c r="R16" s="33" t="n">
        <v>16</v>
      </c>
      <c r="S16" s="34" t="n">
        <v>1.202019729614258</v>
      </c>
      <c r="T16" s="34" t="n">
        <v>1.205405080239715</v>
      </c>
      <c r="U16" s="34" t="n">
        <v>0.4875970826789441</v>
      </c>
      <c r="V16" s="34" t="n">
        <v>0.09364999018625456</v>
      </c>
      <c r="W16" s="33" t="n">
        <v>1.428034385550018</v>
      </c>
      <c r="X16" s="33" t="n"/>
      <c r="Y16" s="33" t="b">
        <v>0</v>
      </c>
      <c r="Z16" s="34" t="n"/>
      <c r="AA16" s="34" t="n"/>
      <c r="AB16" s="33" t="inlineStr">
        <is>
          <t>figures/init-zeros.png</t>
        </is>
      </c>
      <c r="AC16" s="33" t="inlineStr">
        <is>
          <t>ReLU cần phá đối xứng: zeros làm gradient các lớp ẩn bằng 0. He dùng Var=2/fan_in; Xavier dùng 2/(fan_in+fan_out). Stats đo sau từng Linear.; CPU: CUDA peak memory unavailable; train loss on fixed 50,000 samples</t>
        </is>
      </c>
      <c r="AD16" s="35" t="n">
        <f>IF(P16="","",P16-LN(7))</f>
        <v>-5.297239533685882e-07</v>
      </c>
      <c r="AE16" s="35" t="n">
        <f>IF(OR(T16="",S16=""),"",T16-S16)</f>
        <v>0.003385350625457084</v>
      </c>
      <c r="AF16" s="35" t="n">
        <f>IF(OR(V16="",Seeds!$C$8=""),"",V16-Seeds!$C$8)</f>
        <v>-0.7413067662290651</v>
      </c>
      <c r="AG16" s="35" t="str">
        <f>IF(OR(AF16="",Seeds!$C$10=""),"",IF(ABS(AF16)&gt;Seeds!$C$10,"Có","Không"))</f>
        <v>Có</v>
      </c>
    </row>
    <row r="17" ht="15" customHeight="1" s="20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4" t="n"/>
      <c r="Q17" s="34" t="n"/>
      <c r="R17" s="33" t="n"/>
      <c r="S17" s="34" t="n"/>
      <c r="T17" s="34" t="n"/>
      <c r="U17" s="34" t="n"/>
      <c r="V17" s="34" t="n"/>
      <c r="W17" s="33" t="n"/>
      <c r="X17" s="33" t="n"/>
      <c r="Y17" s="33" t="n"/>
      <c r="Z17" s="34" t="n"/>
      <c r="AA17" s="34" t="n"/>
      <c r="AB17" s="33" t="n"/>
      <c r="AC17" s="33" t="n"/>
      <c r="AD17" s="35" t="str">
        <f>IF(P17="","",P17-LN(7))</f>
        <v/>
      </c>
      <c r="AE17" s="35" t="str">
        <f>IF(OR(T17="",S17=""),"",T17-S17)</f>
        <v/>
      </c>
      <c r="AF17" s="35" t="str">
        <f>IF(OR(V17="",Seeds!$C$8=""),"",V17-Seeds!$C$8)</f>
        <v/>
      </c>
      <c r="AG17" s="35" t="str">
        <f>IF(OR(AF17="",Seeds!$C$10=""),"",IF(ABS(AF17)&gt;Seeds!$C$10,"Có","Không"))</f>
        <v/>
      </c>
    </row>
    <row r="18" ht="15" customHeight="1" s="20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4" t="n"/>
      <c r="Q18" s="34" t="n"/>
      <c r="R18" s="33" t="n"/>
      <c r="S18" s="34" t="n"/>
      <c r="T18" s="34" t="n"/>
      <c r="U18" s="34" t="n"/>
      <c r="V18" s="34" t="n"/>
      <c r="W18" s="33" t="n"/>
      <c r="X18" s="33" t="n"/>
      <c r="Y18" s="33" t="n"/>
      <c r="Z18" s="34" t="n"/>
      <c r="AA18" s="34" t="n"/>
      <c r="AB18" s="33" t="n"/>
      <c r="AC18" s="33" t="n"/>
      <c r="AD18" s="35" t="str">
        <f>IF(P18="","",P18-LN(7))</f>
        <v/>
      </c>
      <c r="AE18" s="35" t="str">
        <f>IF(OR(T18="",S18=""),"",T18-S18)</f>
        <v/>
      </c>
      <c r="AF18" s="35" t="str">
        <f>IF(OR(V18="",Seeds!$C$8=""),"",V18-Seeds!$C$8)</f>
        <v/>
      </c>
      <c r="AG18" s="35" t="str">
        <f>IF(OR(AF18="",Seeds!$C$10=""),"",IF(ABS(AF18)&gt;Seeds!$C$10,"Có","Không"))</f>
        <v/>
      </c>
    </row>
    <row r="19" ht="15" customHeight="1" s="2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  <c r="Q19" s="34" t="n"/>
      <c r="R19" s="33" t="n"/>
      <c r="S19" s="34" t="n"/>
      <c r="T19" s="34" t="n"/>
      <c r="U19" s="34" t="n"/>
      <c r="V19" s="34" t="n"/>
      <c r="W19" s="33" t="n"/>
      <c r="X19" s="33" t="n"/>
      <c r="Y19" s="33" t="n"/>
      <c r="Z19" s="34" t="n"/>
      <c r="AA19" s="34" t="n"/>
      <c r="AB19" s="33" t="n"/>
      <c r="AC19" s="33" t="n"/>
      <c r="AD19" s="35" t="str">
        <f>IF(P19="","",P19-LN(7))</f>
        <v/>
      </c>
      <c r="AE19" s="35" t="str">
        <f>IF(OR(T19="",S19=""),"",T19-S19)</f>
        <v/>
      </c>
      <c r="AF19" s="35" t="str">
        <f>IF(OR(V19="",Seeds!$C$8=""),"",V19-Seeds!$C$8)</f>
        <v/>
      </c>
      <c r="AG19" s="35" t="str">
        <f>IF(OR(AF19="",Seeds!$C$10=""),"",IF(ABS(AF19)&gt;Seeds!$C$10,"Có","Không"))</f>
        <v/>
      </c>
    </row>
    <row r="20" ht="1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3" t="n"/>
      <c r="S20" s="34" t="n"/>
      <c r="T20" s="34" t="n"/>
      <c r="U20" s="34" t="n"/>
      <c r="V20" s="34" t="n"/>
      <c r="W20" s="33" t="n"/>
      <c r="X20" s="33" t="n"/>
      <c r="Y20" s="33" t="n"/>
      <c r="Z20" s="34" t="n"/>
      <c r="AA20" s="34" t="n"/>
      <c r="AB20" s="33" t="n"/>
      <c r="AC20" s="33" t="n"/>
      <c r="AD20" s="35" t="str">
        <f>IF(P20="","",P20-LN(7))</f>
        <v/>
      </c>
      <c r="AE20" s="35" t="str">
        <f>IF(OR(T20="",S20=""),"",T20-S20)</f>
        <v/>
      </c>
      <c r="AF20" s="35" t="str">
        <f>IF(OR(V20="",Seeds!$C$8=""),"",V20-Seeds!$C$8)</f>
        <v/>
      </c>
      <c r="AG20" s="35" t="str">
        <f>IF(OR(AF20="",Seeds!$C$10=""),"",IF(ABS(AF20)&gt;Seeds!$C$10,"Có","Không"))</f>
        <v/>
      </c>
    </row>
    <row r="21" ht="1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3" t="n"/>
      <c r="S21" s="34" t="n"/>
      <c r="T21" s="34" t="n"/>
      <c r="U21" s="34" t="n"/>
      <c r="V21" s="34" t="n"/>
      <c r="W21" s="33" t="n"/>
      <c r="X21" s="33" t="n"/>
      <c r="Y21" s="33" t="n"/>
      <c r="Z21" s="34" t="n"/>
      <c r="AA21" s="34" t="n"/>
      <c r="AB21" s="33" t="n"/>
      <c r="AC21" s="33" t="n"/>
      <c r="AD21" s="35" t="str">
        <f>IF(P21="","",P21-LN(7))</f>
        <v/>
      </c>
      <c r="AE21" s="35" t="str">
        <f>IF(OR(T21="",S21=""),"",T21-S21)</f>
        <v/>
      </c>
      <c r="AF21" s="35" t="str">
        <f>IF(OR(V21="",Seeds!$C$8=""),"",V21-Seeds!$C$8)</f>
        <v/>
      </c>
      <c r="AG21" s="35" t="str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 t="str">
        <f>IF(P22="","",P22-LN(7))</f>
        <v/>
      </c>
      <c r="AE22" s="35" t="str">
        <f>IF(OR(T22="",S22=""),"",T22-S22)</f>
        <v/>
      </c>
      <c r="AF22" s="35" t="str">
        <f>IF(OR(V22="",Seeds!$C$8=""),"",V22-Seeds!$C$8)</f>
        <v/>
      </c>
      <c r="AG22" s="35" t="str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 t="str">
        <f>IF(P23="","",P23-LN(7))</f>
        <v/>
      </c>
      <c r="AE23" s="35" t="str">
        <f>IF(OR(T23="",S23=""),"",T23-S23)</f>
        <v/>
      </c>
      <c r="AF23" s="35" t="str">
        <f>IF(OR(V23="",Seeds!$C$8=""),"",V23-Seeds!$C$8)</f>
        <v/>
      </c>
      <c r="AG23" s="35" t="str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 t="str">
        <f>IF(P24="","",P24-LN(7))</f>
        <v/>
      </c>
      <c r="AE24" s="35" t="str">
        <f>IF(OR(T24="",S24=""),"",T24-S24)</f>
        <v/>
      </c>
      <c r="AF24" s="35" t="str">
        <f>IF(OR(V24="",Seeds!$C$8=""),"",V24-Seeds!$C$8)</f>
        <v/>
      </c>
      <c r="AG24" s="35" t="str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 t="str">
        <f>IF(P25="","",P25-LN(7))</f>
        <v/>
      </c>
      <c r="AE25" s="35" t="str">
        <f>IF(OR(T25="",S25=""),"",T25-S25)</f>
        <v/>
      </c>
      <c r="AF25" s="35" t="str">
        <f>IF(OR(V25="",Seeds!$C$8=""),"",V25-Seeds!$C$8)</f>
        <v/>
      </c>
      <c r="AG25" s="35" t="str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 t="str">
        <f>IF(P26="","",P26-LN(7))</f>
        <v/>
      </c>
      <c r="AE26" s="35" t="str">
        <f>IF(OR(T26="",S26=""),"",T26-S26)</f>
        <v/>
      </c>
      <c r="AF26" s="35" t="str">
        <f>IF(OR(V26="",Seeds!$C$8=""),"",V26-Seeds!$C$8)</f>
        <v/>
      </c>
      <c r="AG26" s="35" t="str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 t="str">
        <f>IF(P27="","",P27-LN(7))</f>
        <v/>
      </c>
      <c r="AE27" s="35" t="str">
        <f>IF(OR(T27="",S27=""),"",T27-S27)</f>
        <v/>
      </c>
      <c r="AF27" s="35" t="str">
        <f>IF(OR(V27="",Seeds!$C$8=""),"",V27-Seeds!$C$8)</f>
        <v/>
      </c>
      <c r="AG27" s="35" t="str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 t="str">
        <f>IF(P28="","",P28-LN(7))</f>
        <v/>
      </c>
      <c r="AE28" s="35" t="str">
        <f>IF(OR(T28="",S28=""),"",T28-S28)</f>
        <v/>
      </c>
      <c r="AF28" s="35" t="str">
        <f>IF(OR(V28="",Seeds!$C$8=""),"",V28-Seeds!$C$8)</f>
        <v/>
      </c>
      <c r="AG28" s="35" t="str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 t="str">
        <f>IF(P29="","",P29-LN(7))</f>
        <v/>
      </c>
      <c r="AE29" s="35" t="str">
        <f>IF(OR(T29="",S29=""),"",T29-S29)</f>
        <v/>
      </c>
      <c r="AF29" s="35" t="str">
        <f>IF(OR(V29="",Seeds!$C$8=""),"",V29-Seeds!$C$8)</f>
        <v/>
      </c>
      <c r="AG29" s="35" t="str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 t="str">
        <f>IF(P30="","",P30-LN(7))</f>
        <v/>
      </c>
      <c r="AE30" s="35" t="str">
        <f>IF(OR(T30="",S30=""),"",T30-S30)</f>
        <v/>
      </c>
      <c r="AF30" s="35" t="str">
        <f>IF(OR(V30="",Seeds!$C$8=""),"",V30-Seeds!$C$8)</f>
        <v/>
      </c>
      <c r="AG30" s="35" t="str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 t="str">
        <f>IF(P31="","",P31-LN(7))</f>
        <v/>
      </c>
      <c r="AE31" s="35" t="str">
        <f>IF(OR(T31="",S31=""),"",T31-S31)</f>
        <v/>
      </c>
      <c r="AF31" s="35" t="str">
        <f>IF(OR(V31="",Seeds!$C$8=""),"",V31-Seeds!$C$8)</f>
        <v/>
      </c>
      <c r="AG31" s="35" t="str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 t="str">
        <f>IF(P32="","",P32-LN(7))</f>
        <v/>
      </c>
      <c r="AE32" s="35" t="str">
        <f>IF(OR(T32="",S32=""),"",T32-S32)</f>
        <v/>
      </c>
      <c r="AF32" s="35" t="str">
        <f>IF(OR(V32="",Seeds!$C$8=""),"",V32-Seeds!$C$8)</f>
        <v/>
      </c>
      <c r="AG32" s="35" t="str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 t="str">
        <f>IF(P33="","",P33-LN(7))</f>
        <v/>
      </c>
      <c r="AE33" s="35" t="str">
        <f>IF(OR(T33="",S33=""),"",T33-S33)</f>
        <v/>
      </c>
      <c r="AF33" s="35" t="str">
        <f>IF(OR(V33="",Seeds!$C$8=""),"",V33-Seeds!$C$8)</f>
        <v/>
      </c>
      <c r="AG33" s="35" t="str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 t="str">
        <f>IF(P34="","",P34-LN(7))</f>
        <v/>
      </c>
      <c r="AE34" s="35" t="str">
        <f>IF(OR(T34="",S34=""),"",T34-S34)</f>
        <v/>
      </c>
      <c r="AF34" s="35" t="str">
        <f>IF(OR(V34="",Seeds!$C$8=""),"",V34-Seeds!$C$8)</f>
        <v/>
      </c>
      <c r="AG34" s="35" t="str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 t="str">
        <f>IF(P35="","",P35-LN(7))</f>
        <v/>
      </c>
      <c r="AE35" s="35" t="str">
        <f>IF(OR(T35="",S35=""),"",T35-S35)</f>
        <v/>
      </c>
      <c r="AF35" s="35" t="str">
        <f>IF(OR(V35="",Seeds!$C$8=""),"",V35-Seeds!$C$8)</f>
        <v/>
      </c>
      <c r="AG35" s="35" t="str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 t="str">
        <f>IF(P36="","",P36-LN(7))</f>
        <v/>
      </c>
      <c r="AE36" s="35" t="str">
        <f>IF(OR(T36="",S36=""),"",T36-S36)</f>
        <v/>
      </c>
      <c r="AF36" s="35" t="str">
        <f>IF(OR(V36="",Seeds!$C$8=""),"",V36-Seeds!$C$8)</f>
        <v/>
      </c>
      <c r="AG36" s="35" t="str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 t="str">
        <f>IF(P37="","",P37-LN(7))</f>
        <v/>
      </c>
      <c r="AE37" s="35" t="str">
        <f>IF(OR(T37="",S37=""),"",T37-S37)</f>
        <v/>
      </c>
      <c r="AF37" s="35" t="str">
        <f>IF(OR(V37="",Seeds!$C$8=""),"",V37-Seeds!$C$8)</f>
        <v/>
      </c>
      <c r="AG37" s="35" t="str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 t="str">
        <f>IF(P38="","",P38-LN(7))</f>
        <v/>
      </c>
      <c r="AE38" s="35" t="str">
        <f>IF(OR(T38="",S38=""),"",T38-S38)</f>
        <v/>
      </c>
      <c r="AF38" s="35" t="str">
        <f>IF(OR(V38="",Seeds!$C$8=""),"",V38-Seeds!$C$8)</f>
        <v/>
      </c>
      <c r="AG38" s="35" t="str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 t="str">
        <f>IF(P39="","",P39-LN(7))</f>
        <v/>
      </c>
      <c r="AE39" s="35" t="str">
        <f>IF(OR(T39="",S39=""),"",T39-S39)</f>
        <v/>
      </c>
      <c r="AF39" s="35" t="str">
        <f>IF(OR(V39="",Seeds!$C$8=""),"",V39-Seeds!$C$8)</f>
        <v/>
      </c>
      <c r="AG39" s="35" t="str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 t="str">
        <f>IF(P40="","",P40-LN(7))</f>
        <v/>
      </c>
      <c r="AE40" s="35" t="str">
        <f>IF(OR(T40="",S40=""),"",T40-S40)</f>
        <v/>
      </c>
      <c r="AF40" s="35" t="str">
        <f>IF(OR(V40="",Seeds!$C$8=""),"",V40-Seeds!$C$8)</f>
        <v/>
      </c>
      <c r="AG40" s="35" t="str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 t="str">
        <f>IF(P41="","",P41-LN(7))</f>
        <v/>
      </c>
      <c r="AE41" s="35" t="str">
        <f>IF(OR(T41="",S41=""),"",T41-S41)</f>
        <v/>
      </c>
      <c r="AF41" s="35" t="str">
        <f>IF(OR(V41="",Seeds!$C$8=""),"",V41-Seeds!$C$8)</f>
        <v/>
      </c>
      <c r="AG41" s="35" t="str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 t="str">
        <f>IF(P42="","",P42-LN(7))</f>
        <v/>
      </c>
      <c r="AE42" s="35" t="str">
        <f>IF(OR(T42="",S42=""),"",T42-S42)</f>
        <v/>
      </c>
      <c r="AF42" s="35" t="str">
        <f>IF(OR(V42="",Seeds!$C$8=""),"",V42-Seeds!$C$8)</f>
        <v/>
      </c>
      <c r="AG42" s="35" t="str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 t="str">
        <f>IF(P43="","",P43-LN(7))</f>
        <v/>
      </c>
      <c r="AE43" s="35" t="str">
        <f>IF(OR(T43="",S43=""),"",T43-S43)</f>
        <v/>
      </c>
      <c r="AF43" s="35" t="str">
        <f>IF(OR(V43="",Seeds!$C$8=""),"",V43-Seeds!$C$8)</f>
        <v/>
      </c>
      <c r="AG43" s="35" t="str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 t="str">
        <f>IF(P44="","",P44-LN(7))</f>
        <v/>
      </c>
      <c r="AE44" s="35" t="str">
        <f>IF(OR(T44="",S44=""),"",T44-S44)</f>
        <v/>
      </c>
      <c r="AF44" s="35" t="str">
        <f>IF(OR(V44="",Seeds!$C$8=""),"",V44-Seeds!$C$8)</f>
        <v/>
      </c>
      <c r="AG44" s="35" t="str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 t="str">
        <f>IF(P45="","",P45-LN(7))</f>
        <v/>
      </c>
      <c r="AE45" s="35" t="str">
        <f>IF(OR(T45="",S45=""),"",T45-S45)</f>
        <v/>
      </c>
      <c r="AF45" s="35" t="str">
        <f>IF(OR(V45="",Seeds!$C$8=""),"",V45-Seeds!$C$8)</f>
        <v/>
      </c>
      <c r="AG45" s="35" t="str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 t="str">
        <f>IF(P46="","",P46-LN(7))</f>
        <v/>
      </c>
      <c r="AE46" s="35" t="str">
        <f>IF(OR(T46="",S46=""),"",T46-S46)</f>
        <v/>
      </c>
      <c r="AF46" s="35" t="str">
        <f>IF(OR(V46="",Seeds!$C$8=""),"",V46-Seeds!$C$8)</f>
        <v/>
      </c>
      <c r="AG46" s="35" t="str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 t="str">
        <f>IF(P47="","",P47-LN(7))</f>
        <v/>
      </c>
      <c r="AE47" s="35" t="str">
        <f>IF(OR(T47="",S47=""),"",T47-S47)</f>
        <v/>
      </c>
      <c r="AF47" s="35" t="str">
        <f>IF(OR(V47="",Seeds!$C$8=""),"",V47-Seeds!$C$8)</f>
        <v/>
      </c>
      <c r="AG47" s="35" t="str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 t="str">
        <f>IF(P48="","",P48-LN(7))</f>
        <v/>
      </c>
      <c r="AE48" s="35" t="str">
        <f>IF(OR(T48="",S48=""),"",T48-S48)</f>
        <v/>
      </c>
      <c r="AF48" s="35" t="str">
        <f>IF(OR(V48="",Seeds!$C$8=""),"",V48-Seeds!$C$8)</f>
        <v/>
      </c>
      <c r="AG48" s="35" t="str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 t="str">
        <f>IF(P49="","",P49-LN(7))</f>
        <v/>
      </c>
      <c r="AE49" s="35" t="str">
        <f>IF(OR(T49="",S49=""),"",T49-S49)</f>
        <v/>
      </c>
      <c r="AF49" s="35" t="str">
        <f>IF(OR(V49="",Seeds!$C$8=""),"",V49-Seeds!$C$8)</f>
        <v/>
      </c>
      <c r="AG49" s="35" t="str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 t="str">
        <f>IF(P50="","",P50-LN(7))</f>
        <v/>
      </c>
      <c r="AE50" s="35" t="str">
        <f>IF(OR(T50="",S50=""),"",T50-S50)</f>
        <v/>
      </c>
      <c r="AF50" s="35" t="str">
        <f>IF(OR(V50="",Seeds!$C$8=""),"",V50-Seeds!$C$8)</f>
        <v/>
      </c>
      <c r="AG50" s="35" t="str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 t="str">
        <f>IF(P51="","",P51-LN(7))</f>
        <v/>
      </c>
      <c r="AE51" s="35" t="str">
        <f>IF(OR(T51="",S51=""),"",T51-S51)</f>
        <v/>
      </c>
      <c r="AF51" s="35" t="str">
        <f>IF(OR(V51="",Seeds!$C$8=""),"",V51-Seeds!$C$8)</f>
        <v/>
      </c>
      <c r="AG51" s="35" t="str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 t="str">
        <f>IF(P52="","",P52-LN(7))</f>
        <v/>
      </c>
      <c r="AE52" s="35" t="str">
        <f>IF(OR(T52="",S52=""),"",T52-S52)</f>
        <v/>
      </c>
      <c r="AF52" s="35" t="str">
        <f>IF(OR(V52="",Seeds!$C$8=""),"",V52-Seeds!$C$8)</f>
        <v/>
      </c>
      <c r="AG52" s="35" t="str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 t="str">
        <f>IF(P53="","",P53-LN(7))</f>
        <v/>
      </c>
      <c r="AE53" s="35" t="str">
        <f>IF(OR(T53="",S53=""),"",T53-S53)</f>
        <v/>
      </c>
      <c r="AF53" s="35" t="str">
        <f>IF(OR(V53="",Seeds!$C$8=""),"",V53-Seeds!$C$8)</f>
        <v/>
      </c>
      <c r="AG53" s="35" t="str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 t="str">
        <f>IF(P54="","",P54-LN(7))</f>
        <v/>
      </c>
      <c r="AE54" s="35" t="str">
        <f>IF(OR(T54="",S54=""),"",T54-S54)</f>
        <v/>
      </c>
      <c r="AF54" s="35" t="str">
        <f>IF(OR(V54="",Seeds!$C$8=""),"",V54-Seeds!$C$8)</f>
        <v/>
      </c>
      <c r="AG54" s="35" t="str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 t="str">
        <f>IF(P55="","",P55-LN(7))</f>
        <v/>
      </c>
      <c r="AE55" s="35" t="str">
        <f>IF(OR(T55="",S55=""),"",T55-S55)</f>
        <v/>
      </c>
      <c r="AF55" s="35" t="str">
        <f>IF(OR(V55="",Seeds!$C$8=""),"",V55-Seeds!$C$8)</f>
        <v/>
      </c>
      <c r="AG55" s="35" t="str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 t="str">
        <f>IF(P56="","",P56-LN(7))</f>
        <v/>
      </c>
      <c r="AE56" s="35" t="str">
        <f>IF(OR(T56="",S56=""),"",T56-S56)</f>
        <v/>
      </c>
      <c r="AF56" s="35" t="str">
        <f>IF(OR(V56="",Seeds!$C$8=""),"",V56-Seeds!$C$8)</f>
        <v/>
      </c>
      <c r="AG56" s="35" t="str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 t="str">
        <f>IF(P57="","",P57-LN(7))</f>
        <v/>
      </c>
      <c r="AE57" s="35" t="str">
        <f>IF(OR(T57="",S57=""),"",T57-S57)</f>
        <v/>
      </c>
      <c r="AF57" s="35" t="str">
        <f>IF(OR(V57="",Seeds!$C$8=""),"",V57-Seeds!$C$8)</f>
        <v/>
      </c>
      <c r="AG57" s="35" t="str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 t="str">
        <f>IF(P58="","",P58-LN(7))</f>
        <v/>
      </c>
      <c r="AE58" s="35" t="str">
        <f>IF(OR(T58="",S58=""),"",T58-S58)</f>
        <v/>
      </c>
      <c r="AF58" s="35" t="str">
        <f>IF(OR(V58="",Seeds!$C$8=""),"",V58-Seeds!$C$8)</f>
        <v/>
      </c>
      <c r="AG58" s="35" t="str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 t="str">
        <f>IF(P59="","",P59-LN(7))</f>
        <v/>
      </c>
      <c r="AE59" s="35" t="str">
        <f>IF(OR(T59="",S59=""),"",T59-S59)</f>
        <v/>
      </c>
      <c r="AF59" s="35" t="str">
        <f>IF(OR(V59="",Seeds!$C$8=""),"",V59-Seeds!$C$8)</f>
        <v/>
      </c>
      <c r="AG59" s="35" t="str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 t="str">
        <f>IF(P60="","",P60-LN(7))</f>
        <v/>
      </c>
      <c r="AE60" s="35" t="str">
        <f>IF(OR(T60="",S60=""),"",T60-S60)</f>
        <v/>
      </c>
      <c r="AF60" s="35" t="str">
        <f>IF(OR(V60="",Seeds!$C$8=""),"",V60-Seeds!$C$8)</f>
        <v/>
      </c>
      <c r="AG60" s="35" t="str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 t="str">
        <f>IF(P61="","",P61-LN(7))</f>
        <v/>
      </c>
      <c r="AE61" s="35" t="str">
        <f>IF(OR(T61="",S61=""),"",T61-S61)</f>
        <v/>
      </c>
      <c r="AF61" s="35" t="str">
        <f>IF(OR(V61="",Seeds!$C$8=""),"",V61-Seeds!$C$8)</f>
        <v/>
      </c>
      <c r="AG61" s="35" t="str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 t="n">
        <v>0.8977969492911082</v>
      </c>
      <c r="C2" s="35" t="n">
        <v>0.8367810857646406</v>
      </c>
      <c r="D2" s="35" t="n">
        <v>0.2515139825989464</v>
      </c>
    </row>
    <row r="3" ht="15" customHeight="1" s="20">
      <c r="A3" s="32" t="inlineStr">
        <is>
          <t>base-s2</t>
        </is>
      </c>
      <c r="B3" s="35" t="n">
        <v>0.897162281362277</v>
      </c>
      <c r="C3" s="35" t="n">
        <v>0.8273462503795278</v>
      </c>
      <c r="D3" s="35" t="n">
        <v>0.2541917388323152</v>
      </c>
    </row>
    <row r="4" ht="15" customHeight="1" s="20">
      <c r="A4" s="32" t="inlineStr">
        <is>
          <t>base-s3</t>
        </is>
      </c>
      <c r="B4" s="35" t="n">
        <v>0.9003678922570513</v>
      </c>
      <c r="C4" s="35" t="n">
        <v>0.8407429331017904</v>
      </c>
      <c r="D4" s="35" t="n">
        <v>0.2477456944784264</v>
      </c>
    </row>
    <row r="5" ht="15" customHeight="1" s="20">
      <c r="A5" s="33" t="inlineStr"/>
      <c r="B5" s="35" t="str">
        <f>IF($A5="","",IFERROR(IF(INDEX(Experiments!$U$2:$U$61,MATCH($A5,Experiments!$A$2:$A$61,0))="","",INDEX(Experiments!$U$2:$U$61,MATCH($A5,Experiments!$A$2:$A$61,0))),""))</f>
        <v/>
      </c>
      <c r="C5" s="35" t="str">
        <f>IF($A5="","",IFERROR(IF(INDEX(Experiments!$V$2:$V$61,MATCH($A5,Experiments!$A$2:$A$61,0))="","",INDEX(Experiments!$V$2:$V$61,MATCH($A5,Experiments!$A$2:$A$61,0))),""))</f>
        <v/>
      </c>
      <c r="D5" s="35" t="str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inlineStr"/>
      <c r="B6" s="35" t="str">
        <f>IF($A6="","",IFERROR(IF(INDEX(Experiments!$U$2:$U$61,MATCH($A6,Experiments!$A$2:$A$61,0))="","",INDEX(Experiments!$U$2:$U$61,MATCH($A6,Experiments!$A$2:$A$61,0))),""))</f>
        <v/>
      </c>
      <c r="C6" s="35" t="str">
        <f>IF($A6="","",IFERROR(IF(INDEX(Experiments!$V$2:$V$61,MATCH($A6,Experiments!$A$2:$A$61,0))="","",INDEX(Experiments!$V$2:$V$61,MATCH($A6,Experiments!$A$2:$A$61,0))),""))</f>
        <v/>
      </c>
      <c r="D6" s="35" t="str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 t="n">
        <v>0.8984423743034787</v>
      </c>
      <c r="C8" s="35" t="n">
        <v>0.8349567564153196</v>
      </c>
      <c r="D8" s="35" t="n">
        <v>0.251150471969896</v>
      </c>
    </row>
    <row r="9" ht="15" customHeight="1" s="20">
      <c r="A9" s="36" t="inlineStr">
        <is>
          <t>std (mẫu)</t>
        </is>
      </c>
      <c r="B9" s="35" t="n">
        <v>0.00169747323605382</v>
      </c>
      <c r="C9" s="35" t="n">
        <v>0.006882144300386158</v>
      </c>
      <c r="D9" s="35" t="n">
        <v>0.003238360223346061</v>
      </c>
    </row>
    <row r="10" ht="15" customHeight="1" s="20">
      <c r="A10" s="36" t="inlineStr">
        <is>
          <t>2σ (ngưỡng nhiễu)</t>
        </is>
      </c>
      <c r="B10" s="35" t="n">
        <v>0.003394946472107641</v>
      </c>
      <c r="C10" s="35" t="n">
        <v>0.01376428860077232</v>
      </c>
      <c r="D10" s="35" t="n">
        <v>0.006476720446692122</v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 t="n">
        <v>3</v>
      </c>
      <c r="C2" s="37" t="n">
        <v>3</v>
      </c>
      <c r="D2" s="35" t="n">
        <v>0.8407429331017904</v>
      </c>
      <c r="E2" s="35" t="n">
        <v>0.8273462503795278</v>
      </c>
      <c r="F2" s="35" t="n">
        <v>0.9003678922570513</v>
      </c>
      <c r="G2" s="37" t="inlineStr">
        <is>
          <t>—</t>
        </is>
      </c>
      <c r="H2" s="38" t="inlineStr">
        <is>
          <t>base-s1; base-s2; base-s3</t>
        </is>
      </c>
    </row>
    <row r="3" ht="15" customHeight="1" s="20">
      <c r="A3" s="31" t="inlineStr">
        <is>
          <t>loss</t>
        </is>
      </c>
      <c r="B3" s="37" t="n">
        <v>1</v>
      </c>
      <c r="C3" s="37" t="n">
        <v>1</v>
      </c>
      <c r="D3" s="35" t="n">
        <v>0.6839029965778897</v>
      </c>
      <c r="E3" s="35" t="n">
        <v>0.6839029965778897</v>
      </c>
      <c r="F3" s="35" t="n">
        <v>0.8554140401454358</v>
      </c>
      <c r="G3" s="37" t="inlineStr">
        <is>
          <t>Có</t>
        </is>
      </c>
      <c r="H3" s="38" t="inlineStr">
        <is>
          <t>loss-mse</t>
        </is>
      </c>
    </row>
    <row r="4" ht="15" customHeight="1" s="20">
      <c r="A4" s="31" t="inlineStr">
        <is>
          <t>optimizer</t>
        </is>
      </c>
      <c r="B4" s="37" t="n">
        <v>4</v>
      </c>
      <c r="C4" s="37" t="n">
        <v>4</v>
      </c>
      <c r="D4" s="35" t="n">
        <v>0.8779171445095677</v>
      </c>
      <c r="E4" s="35" t="n">
        <v>0.764900707059572</v>
      </c>
      <c r="F4" s="35" t="n">
        <v>0.9180095092618489</v>
      </c>
      <c r="G4" s="37" t="inlineStr">
        <is>
          <t>Có</t>
        </is>
      </c>
      <c r="H4" s="38" t="inlineStr">
        <is>
          <t>opt-adam-lr001; opt-adam-lr003; opt-sgdm-lr01; opt-sgdm-lr10</t>
        </is>
      </c>
    </row>
    <row r="5" ht="15" customHeight="1" s="20">
      <c r="A5" s="31" t="inlineStr">
        <is>
          <t>hparam</t>
        </is>
      </c>
      <c r="B5" s="37" t="n">
        <v>1</v>
      </c>
      <c r="C5" s="37" t="n">
        <v>1</v>
      </c>
      <c r="D5" s="35" t="n">
        <v>0.8299205055676406</v>
      </c>
      <c r="E5" s="35" t="n">
        <v>0.8299205055676406</v>
      </c>
      <c r="F5" s="35" t="n">
        <v>0.8994427830726534</v>
      </c>
      <c r="G5" s="37" t="inlineStr">
        <is>
          <t>Có</t>
        </is>
      </c>
      <c r="H5" s="38" t="inlineStr">
        <is>
          <t>lr-high</t>
        </is>
      </c>
    </row>
    <row r="6" ht="15" customHeight="1" s="20">
      <c r="A6" s="31" t="inlineStr">
        <is>
          <t>dropout</t>
        </is>
      </c>
      <c r="B6" s="37" t="n">
        <v>1</v>
      </c>
      <c r="C6" s="37" t="n">
        <v>1</v>
      </c>
      <c r="D6" s="35" t="n">
        <v>0.794954882660331</v>
      </c>
      <c r="E6" s="35" t="n">
        <v>0.794954882660331</v>
      </c>
      <c r="F6" s="35" t="n">
        <v>0.8760246122071385</v>
      </c>
      <c r="G6" s="37" t="inlineStr">
        <is>
          <t>Có</t>
        </is>
      </c>
      <c r="H6" s="38" t="inlineStr">
        <is>
          <t>dropout-q02</t>
        </is>
      </c>
    </row>
    <row r="7" ht="15" customHeight="1" s="20">
      <c r="A7" s="31" t="inlineStr">
        <is>
          <t>clipping</t>
        </is>
      </c>
      <c r="B7" s="37" t="n">
        <v>2</v>
      </c>
      <c r="C7" s="37" t="n">
        <v>2</v>
      </c>
      <c r="D7" s="35" t="n">
        <v>0.8480175184328045</v>
      </c>
      <c r="E7" s="35" t="n">
        <v>0.8425144569485882</v>
      </c>
      <c r="F7" s="35" t="n">
        <v>0.9062520169531637</v>
      </c>
      <c r="G7" s="37" t="inlineStr">
        <is>
          <t>Có</t>
        </is>
      </c>
      <c r="H7" s="38" t="inlineStr">
        <is>
          <t>clip-high; clip-normal</t>
        </is>
      </c>
    </row>
    <row r="8" ht="15" customHeight="1" s="20">
      <c r="A8" s="31" t="inlineStr">
        <is>
          <t>amp</t>
        </is>
      </c>
      <c r="B8" s="37" t="n">
        <v>1</v>
      </c>
      <c r="C8" s="37" t="n">
        <v>1</v>
      </c>
      <c r="D8" s="35" t="n">
        <v>0.8401621252224256</v>
      </c>
      <c r="E8" s="35" t="n">
        <v>0.8401621252224256</v>
      </c>
      <c r="F8" s="35" t="n">
        <v>0.8975495363696995</v>
      </c>
      <c r="G8" s="37" t="inlineStr">
        <is>
          <t>Có</t>
        </is>
      </c>
      <c r="H8" s="38" t="inlineStr">
        <is>
          <t>amp-bf16</t>
        </is>
      </c>
    </row>
    <row r="9" ht="15" customHeight="1" s="20">
      <c r="A9" s="31" t="inlineStr">
        <is>
          <t>init</t>
        </is>
      </c>
      <c r="B9" s="37" t="n">
        <v>2</v>
      </c>
      <c r="C9" s="37" t="n">
        <v>2</v>
      </c>
      <c r="D9" s="35" t="n">
        <v>0.8292370811099576</v>
      </c>
      <c r="E9" s="35" t="n">
        <v>0.09364999018625456</v>
      </c>
      <c r="F9" s="35" t="n">
        <v>0.8958499171704567</v>
      </c>
      <c r="G9" s="37" t="inlineStr">
        <is>
          <t>Có</t>
        </is>
      </c>
      <c r="H9" s="38" t="inlineStr">
        <is>
          <t>init-xavier; init-zeros</t>
        </is>
      </c>
    </row>
    <row r="10" ht="15" customHeight="1" s="20">
      <c r="A10" s="31" t="inlineStr">
        <is>
          <t>final</t>
        </is>
      </c>
      <c r="B10" s="37" t="n">
        <v>0</v>
      </c>
      <c r="C10" s="37" t="n">
        <v>0</v>
      </c>
      <c r="D10" s="35" t="str">
        <f>IF(C10=0,"",_xlfn.MAXIFS(Experiments!$V$2:$V$61,Experiments!$B$2:$B$61,A10))</f>
        <v/>
      </c>
      <c r="E10" s="35" t="str">
        <f>IF(C10=0,"",_xlfn.MINIFS(Experiments!$V$2:$V$61,Experiments!$B$2:$B$61,A10))</f>
        <v/>
      </c>
      <c r="F10" s="35" t="str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Không chạy trên phần cứng hiện tại</t>
        </is>
      </c>
    </row>
    <row r="11" ht="15" customHeight="1" s="20">
      <c r="A11" s="31" t="inlineStr">
        <is>
          <t>other</t>
        </is>
      </c>
      <c r="B11" s="37" t="n">
        <v>0</v>
      </c>
      <c r="C11" s="37" t="n">
        <v>0</v>
      </c>
      <c r="D11" s="35" t="str">
        <f>IF(C11=0,"",_xlfn.MAXIFS(Experiments!$V$2:$V$61,Experiments!$B$2:$B$61,A11))</f>
        <v/>
      </c>
      <c r="E11" s="35" t="str">
        <f>IF(C11=0,"",_xlfn.MINIFS(Experiments!$V$2:$V$61,Experiments!$B$2:$B$61,A11))</f>
        <v/>
      </c>
      <c r="F11" s="35" t="str">
        <f>IF(C11=0,"",_xlfn.MAXIFS(Experiments!$U$2:$U$61,Experiments!$B$2:$B$61,A11))</f>
        <v/>
      </c>
      <c r="G11" s="37" t="inlineStr">
        <is>
          <t>—</t>
        </is>
      </c>
      <c r="H11" s="38" t="inlineStr">
        <is>
          <t>Không chạy trên phần cứng hiện tại</t>
        </is>
      </c>
    </row>
    <row r="13" ht="15" customHeight="1" s="20">
      <c r="A13" s="23" t="inlineStr">
        <is>
          <t>Số chủ đề (trong 7) đã thử:</t>
        </is>
      </c>
      <c r="D13" s="23" t="n">
        <f>COUNTIF(G2:G11,"Có")</f>
        <v>7</v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  <row r="17">
      <c r="A17" s="39" t="inlineStr">
        <is>
          <t>Diagnostics / supplementary measurements</t>
        </is>
      </c>
      <c r="B17" s="39" t="inlineStr">
        <is>
          <t>Value</t>
        </is>
      </c>
      <c r="C17" s="39" t="inlineStr">
        <is>
          <t>Source</t>
        </is>
      </c>
      <c r="D17" s="39" t="n"/>
      <c r="E17" s="39" t="n"/>
      <c r="F17" s="39" t="n"/>
      <c r="G17" s="39" t="n"/>
      <c r="H17" s="39" t="n"/>
    </row>
    <row r="18">
      <c r="A18" t="inlineStr">
        <is>
          <t>params</t>
        </is>
      </c>
      <c r="B18" t="n">
        <v>47879</v>
      </c>
      <c r="C18" t="inlineStr">
        <is>
          <t>health_checks.json</t>
        </is>
      </c>
    </row>
    <row r="19">
      <c r="A19" t="inlineStr">
        <is>
          <t>shape logits</t>
        </is>
      </c>
      <c r="B19" t="inlineStr">
        <is>
          <t>[8, 7]</t>
        </is>
      </c>
      <c r="C19" t="inlineStr">
        <is>
          <t>health_checks.json</t>
        </is>
      </c>
    </row>
    <row r="20">
      <c r="A20" t="inlineStr">
        <is>
          <t>ln7</t>
        </is>
      </c>
      <c r="B20" t="n">
        <v>1.945910149055313</v>
      </c>
      <c r="C20" t="inlineStr">
        <is>
          <t>reference</t>
        </is>
      </c>
    </row>
    <row r="21">
      <c r="A21" t="inlineStr">
        <is>
          <t>overfit20_final_loss</t>
        </is>
      </c>
      <c r="B21" t="n">
        <v>5.316702299751341e-06</v>
      </c>
      <c r="C21" t="inlineStr">
        <is>
          <t>health_checks.json</t>
        </is>
      </c>
    </row>
    <row r="22">
      <c r="A22" t="inlineStr">
        <is>
          <t>majority_val_acc</t>
        </is>
      </c>
      <c r="B22" t="n">
        <v>0.4875970780849457</v>
      </c>
      <c r="C22" t="inlineStr">
        <is>
          <t>health_checks.json</t>
        </is>
      </c>
    </row>
    <row r="23">
      <c r="A23" t="inlineStr">
        <is>
          <t>total_epoch_time_s</t>
        </is>
      </c>
      <c r="B23" t="n">
        <v>526.8165663870086</v>
      </c>
      <c r="C23" t="inlineStr">
        <is>
          <t>all histories</t>
        </is>
      </c>
    </row>
    <row r="24">
      <c r="A24" t="inlineStr">
        <is>
          <t>gradient net.0.weight</t>
        </is>
      </c>
      <c r="B24" t="n">
        <v>0.5070549845695496</v>
      </c>
      <c r="C24" t="inlineStr">
        <is>
          <t>health_checks.json</t>
        </is>
      </c>
    </row>
    <row r="25">
      <c r="A25" t="inlineStr">
        <is>
          <t>gradient net.0.bias</t>
        </is>
      </c>
      <c r="B25" t="n">
        <v>0.3422401249408722</v>
      </c>
      <c r="C25" t="inlineStr">
        <is>
          <t>health_checks.json</t>
        </is>
      </c>
    </row>
    <row r="26">
      <c r="A26" t="inlineStr">
        <is>
          <t>gradient net.2.weight</t>
        </is>
      </c>
      <c r="B26" t="n">
        <v>2.021227836608887</v>
      </c>
      <c r="C26" t="inlineStr">
        <is>
          <t>health_checks.json</t>
        </is>
      </c>
    </row>
    <row r="27">
      <c r="A27" t="inlineStr">
        <is>
          <t>gradient net.2.bias</t>
        </is>
      </c>
      <c r="B27" t="n">
        <v>0.4438736438751221</v>
      </c>
      <c r="C27" t="inlineStr">
        <is>
          <t>health_checks.json</t>
        </is>
      </c>
    </row>
    <row r="28">
      <c r="A28" t="inlineStr">
        <is>
          <t>gradient net.4.weight</t>
        </is>
      </c>
      <c r="B28" t="n">
        <v>1.960455775260925</v>
      </c>
      <c r="C28" t="inlineStr">
        <is>
          <t>health_checks.json</t>
        </is>
      </c>
    </row>
    <row r="29">
      <c r="A29" t="inlineStr">
        <is>
          <t>gradient net.4.bias</t>
        </is>
      </c>
      <c r="B29" t="n">
        <v>0.5724555253982544</v>
      </c>
      <c r="C29" t="inlineStr">
        <is>
          <t>health_checks.json</t>
        </is>
      </c>
    </row>
    <row r="30">
      <c r="A30" t="inlineStr">
        <is>
          <t>base-s1 grad_norm_p90</t>
        </is>
      </c>
      <c r="B30" t="n">
        <v>1.047024178504944</v>
      </c>
      <c r="C30" t="inlineStr">
        <is>
          <t>base-s1</t>
        </is>
      </c>
    </row>
    <row r="31">
      <c r="A31" t="inlineStr">
        <is>
          <t>base-s1 max_grad_norm</t>
        </is>
      </c>
      <c r="B31" t="n">
        <v>2.871076583862305</v>
      </c>
      <c r="C31" t="inlineStr">
        <is>
          <t>base-s1</t>
        </is>
      </c>
    </row>
    <row r="32">
      <c r="A32" t="inlineStr">
        <is>
          <t>base-s1 mean_clip_fraction</t>
        </is>
      </c>
      <c r="B32" t="n">
        <v>0</v>
      </c>
      <c r="C32" t="inlineStr">
        <is>
          <t>base-s1</t>
        </is>
      </c>
    </row>
    <row r="33">
      <c r="A33" t="inlineStr">
        <is>
          <t>base-s1 activation_std_linear1</t>
        </is>
      </c>
      <c r="B33" t="n">
        <v>0.670907735824585</v>
      </c>
      <c r="C33" t="inlineStr">
        <is>
          <t>base-s1</t>
        </is>
      </c>
    </row>
    <row r="34">
      <c r="A34" t="inlineStr">
        <is>
          <t>base-s1 activation_std_linear2</t>
        </is>
      </c>
      <c r="B34" t="n">
        <v>0.6491826176643372</v>
      </c>
      <c r="C34" t="inlineStr">
        <is>
          <t>base-s1</t>
        </is>
      </c>
    </row>
    <row r="35">
      <c r="A35" t="inlineStr">
        <is>
          <t>base-s1 activation_std_linear3</t>
        </is>
      </c>
      <c r="B35" t="n">
        <v>0.5884760022163391</v>
      </c>
      <c r="C35" t="inlineStr">
        <is>
          <t>base-s1</t>
        </is>
      </c>
    </row>
    <row r="36">
      <c r="A36" t="inlineStr">
        <is>
          <t>base-s2 grad_norm_p90</t>
        </is>
      </c>
      <c r="B36" t="n">
        <v>0.9901544988155365</v>
      </c>
      <c r="C36" t="inlineStr">
        <is>
          <t>base-s2</t>
        </is>
      </c>
    </row>
    <row r="37">
      <c r="A37" t="inlineStr">
        <is>
          <t>base-s2 max_grad_norm</t>
        </is>
      </c>
      <c r="B37" t="n">
        <v>2.251395225524902</v>
      </c>
      <c r="C37" t="inlineStr">
        <is>
          <t>base-s2</t>
        </is>
      </c>
    </row>
    <row r="38">
      <c r="A38" t="inlineStr">
        <is>
          <t>base-s2 mean_clip_fraction</t>
        </is>
      </c>
      <c r="B38" t="n">
        <v>0</v>
      </c>
      <c r="C38" t="inlineStr">
        <is>
          <t>base-s2</t>
        </is>
      </c>
    </row>
    <row r="39">
      <c r="A39" t="inlineStr">
        <is>
          <t>base-s2 activation_std_linear1</t>
        </is>
      </c>
      <c r="B39" t="n">
        <v>0.6850848793983459</v>
      </c>
      <c r="C39" t="inlineStr">
        <is>
          <t>base-s2</t>
        </is>
      </c>
    </row>
    <row r="40">
      <c r="A40" t="inlineStr">
        <is>
          <t>base-s2 activation_std_linear2</t>
        </is>
      </c>
      <c r="B40" t="n">
        <v>0.6990634799003601</v>
      </c>
      <c r="C40" t="inlineStr">
        <is>
          <t>base-s2</t>
        </is>
      </c>
    </row>
    <row r="41">
      <c r="A41" t="inlineStr">
        <is>
          <t>base-s2 activation_std_linear3</t>
        </is>
      </c>
      <c r="B41" t="n">
        <v>0.5528110265731812</v>
      </c>
      <c r="C41" t="inlineStr">
        <is>
          <t>base-s2</t>
        </is>
      </c>
    </row>
    <row r="42">
      <c r="A42" t="inlineStr">
        <is>
          <t>base-s3 grad_norm_p90</t>
        </is>
      </c>
      <c r="B42" t="n">
        <v>1.063445782661438</v>
      </c>
      <c r="C42" t="inlineStr">
        <is>
          <t>base-s3</t>
        </is>
      </c>
    </row>
    <row r="43">
      <c r="A43" t="inlineStr">
        <is>
          <t>base-s3 max_grad_norm</t>
        </is>
      </c>
      <c r="B43" t="n">
        <v>2.627849817276001</v>
      </c>
      <c r="C43" t="inlineStr">
        <is>
          <t>base-s3</t>
        </is>
      </c>
    </row>
    <row r="44">
      <c r="A44" t="inlineStr">
        <is>
          <t>base-s3 mean_clip_fraction</t>
        </is>
      </c>
      <c r="B44" t="n">
        <v>0</v>
      </c>
      <c r="C44" t="inlineStr">
        <is>
          <t>base-s3</t>
        </is>
      </c>
    </row>
    <row r="45">
      <c r="A45" t="inlineStr">
        <is>
          <t>base-s3 activation_std_linear1</t>
        </is>
      </c>
      <c r="B45" t="n">
        <v>0.6763607263565063</v>
      </c>
      <c r="C45" t="inlineStr">
        <is>
          <t>base-s3</t>
        </is>
      </c>
    </row>
    <row r="46">
      <c r="A46" t="inlineStr">
        <is>
          <t>base-s3 activation_std_linear2</t>
        </is>
      </c>
      <c r="B46" t="n">
        <v>0.6796086430549622</v>
      </c>
      <c r="C46" t="inlineStr">
        <is>
          <t>base-s3</t>
        </is>
      </c>
    </row>
    <row r="47">
      <c r="A47" t="inlineStr">
        <is>
          <t>base-s3 activation_std_linear3</t>
        </is>
      </c>
      <c r="B47" t="n">
        <v>0.537179708480835</v>
      </c>
      <c r="C47" t="inlineStr">
        <is>
          <t>base-s3</t>
        </is>
      </c>
    </row>
    <row r="48">
      <c r="A48" t="inlineStr">
        <is>
          <t>opt-adam-lr001 grad_norm_p90</t>
        </is>
      </c>
      <c r="B48" t="n">
        <v>1.268700921535492</v>
      </c>
      <c r="C48" t="inlineStr">
        <is>
          <t>opt-adam-lr001</t>
        </is>
      </c>
    </row>
    <row r="49">
      <c r="A49" t="inlineStr">
        <is>
          <t>opt-adam-lr001 max_grad_norm</t>
        </is>
      </c>
      <c r="B49" t="n">
        <v>2.871076583862305</v>
      </c>
      <c r="C49" t="inlineStr">
        <is>
          <t>opt-adam-lr001</t>
        </is>
      </c>
    </row>
    <row r="50">
      <c r="A50" t="inlineStr">
        <is>
          <t>opt-adam-lr001 mean_clip_fraction</t>
        </is>
      </c>
      <c r="B50" t="n">
        <v>0</v>
      </c>
      <c r="C50" t="inlineStr">
        <is>
          <t>opt-adam-lr001</t>
        </is>
      </c>
    </row>
    <row r="51">
      <c r="A51" t="inlineStr">
        <is>
          <t>opt-adam-lr001 activation_std_linear1</t>
        </is>
      </c>
      <c r="B51" t="n">
        <v>0.670907735824585</v>
      </c>
      <c r="C51" t="inlineStr">
        <is>
          <t>opt-adam-lr001</t>
        </is>
      </c>
    </row>
    <row r="52">
      <c r="A52" t="inlineStr">
        <is>
          <t>opt-adam-lr001 activation_std_linear2</t>
        </is>
      </c>
      <c r="B52" t="n">
        <v>0.6491826176643372</v>
      </c>
      <c r="C52" t="inlineStr">
        <is>
          <t>opt-adam-lr001</t>
        </is>
      </c>
    </row>
    <row r="53">
      <c r="A53" t="inlineStr">
        <is>
          <t>opt-adam-lr001 activation_std_linear3</t>
        </is>
      </c>
      <c r="B53" t="n">
        <v>0.5884760022163391</v>
      </c>
      <c r="C53" t="inlineStr">
        <is>
          <t>opt-adam-lr001</t>
        </is>
      </c>
    </row>
    <row r="54">
      <c r="A54" t="inlineStr">
        <is>
          <t>opt-adam-lr003 grad_norm_p90</t>
        </is>
      </c>
      <c r="B54" t="n">
        <v>0.8982618391513825</v>
      </c>
      <c r="C54" t="inlineStr">
        <is>
          <t>opt-adam-lr003</t>
        </is>
      </c>
    </row>
    <row r="55">
      <c r="A55" t="inlineStr">
        <is>
          <t>opt-adam-lr003 max_grad_norm</t>
        </is>
      </c>
      <c r="B55" t="n">
        <v>2.871076583862305</v>
      </c>
      <c r="C55" t="inlineStr">
        <is>
          <t>opt-adam-lr003</t>
        </is>
      </c>
    </row>
    <row r="56">
      <c r="A56" t="inlineStr">
        <is>
          <t>opt-adam-lr003 mean_clip_fraction</t>
        </is>
      </c>
      <c r="B56" t="n">
        <v>0</v>
      </c>
      <c r="C56" t="inlineStr">
        <is>
          <t>opt-adam-lr003</t>
        </is>
      </c>
    </row>
    <row r="57">
      <c r="A57" t="inlineStr">
        <is>
          <t>opt-adam-lr003 activation_std_linear1</t>
        </is>
      </c>
      <c r="B57" t="n">
        <v>0.670907735824585</v>
      </c>
      <c r="C57" t="inlineStr">
        <is>
          <t>opt-adam-lr003</t>
        </is>
      </c>
    </row>
    <row r="58">
      <c r="A58" t="inlineStr">
        <is>
          <t>opt-adam-lr003 activation_std_linear2</t>
        </is>
      </c>
      <c r="B58" t="n">
        <v>0.6491826176643372</v>
      </c>
      <c r="C58" t="inlineStr">
        <is>
          <t>opt-adam-lr003</t>
        </is>
      </c>
    </row>
    <row r="59">
      <c r="A59" t="inlineStr">
        <is>
          <t>opt-adam-lr003 activation_std_linear3</t>
        </is>
      </c>
      <c r="B59" t="n">
        <v>0.5884760022163391</v>
      </c>
      <c r="C59" t="inlineStr">
        <is>
          <t>opt-adam-lr003</t>
        </is>
      </c>
    </row>
    <row r="60">
      <c r="A60" t="inlineStr">
        <is>
          <t>opt-sgdm-lr01 grad_norm_p90</t>
        </is>
      </c>
      <c r="B60" t="n">
        <v>1.666180646419525</v>
      </c>
      <c r="C60" t="inlineStr">
        <is>
          <t>opt-sgdm-lr01</t>
        </is>
      </c>
    </row>
    <row r="61">
      <c r="A61" t="inlineStr">
        <is>
          <t>opt-sgdm-lr01 max_grad_norm</t>
        </is>
      </c>
      <c r="B61" t="n">
        <v>4.432329654693604</v>
      </c>
      <c r="C61" t="inlineStr">
        <is>
          <t>opt-sgdm-lr01</t>
        </is>
      </c>
    </row>
    <row r="62">
      <c r="A62" t="inlineStr">
        <is>
          <t>opt-sgdm-lr01 mean_clip_fraction</t>
        </is>
      </c>
      <c r="B62" t="n">
        <v>0</v>
      </c>
      <c r="C62" t="inlineStr">
        <is>
          <t>opt-sgdm-lr01</t>
        </is>
      </c>
    </row>
    <row r="63">
      <c r="A63" t="inlineStr">
        <is>
          <t>opt-sgdm-lr01 activation_std_linear1</t>
        </is>
      </c>
      <c r="B63" t="n">
        <v>0.670907735824585</v>
      </c>
      <c r="C63" t="inlineStr">
        <is>
          <t>opt-sgdm-lr01</t>
        </is>
      </c>
    </row>
    <row r="64">
      <c r="A64" t="inlineStr">
        <is>
          <t>opt-sgdm-lr01 activation_std_linear2</t>
        </is>
      </c>
      <c r="B64" t="n">
        <v>0.6491826176643372</v>
      </c>
      <c r="C64" t="inlineStr">
        <is>
          <t>opt-sgdm-lr01</t>
        </is>
      </c>
    </row>
    <row r="65">
      <c r="A65" t="inlineStr">
        <is>
          <t>opt-sgdm-lr01 activation_std_linear3</t>
        </is>
      </c>
      <c r="B65" t="n">
        <v>0.5884760022163391</v>
      </c>
      <c r="C65" t="inlineStr">
        <is>
          <t>opt-sgdm-lr01</t>
        </is>
      </c>
    </row>
    <row r="66">
      <c r="A66" t="inlineStr">
        <is>
          <t>opt-sgdm-lr10 grad_norm_p90</t>
        </is>
      </c>
      <c r="B66" t="n">
        <v>0.7054329931735993</v>
      </c>
      <c r="C66" t="inlineStr">
        <is>
          <t>opt-sgdm-lr10</t>
        </is>
      </c>
    </row>
    <row r="67">
      <c r="A67" t="inlineStr">
        <is>
          <t>opt-sgdm-lr10 max_grad_norm</t>
        </is>
      </c>
      <c r="B67" t="n">
        <v>2.871076583862305</v>
      </c>
      <c r="C67" t="inlineStr">
        <is>
          <t>opt-sgdm-lr10</t>
        </is>
      </c>
    </row>
    <row r="68">
      <c r="A68" t="inlineStr">
        <is>
          <t>opt-sgdm-lr10 mean_clip_fraction</t>
        </is>
      </c>
      <c r="B68" t="n">
        <v>0</v>
      </c>
      <c r="C68" t="inlineStr">
        <is>
          <t>opt-sgdm-lr10</t>
        </is>
      </c>
    </row>
    <row r="69">
      <c r="A69" t="inlineStr">
        <is>
          <t>opt-sgdm-lr10 activation_std_linear1</t>
        </is>
      </c>
      <c r="B69" t="n">
        <v>0.670907735824585</v>
      </c>
      <c r="C69" t="inlineStr">
        <is>
          <t>opt-sgdm-lr10</t>
        </is>
      </c>
    </row>
    <row r="70">
      <c r="A70" t="inlineStr">
        <is>
          <t>opt-sgdm-lr10 activation_std_linear2</t>
        </is>
      </c>
      <c r="B70" t="n">
        <v>0.6491826176643372</v>
      </c>
      <c r="C70" t="inlineStr">
        <is>
          <t>opt-sgdm-lr10</t>
        </is>
      </c>
    </row>
    <row r="71">
      <c r="A71" t="inlineStr">
        <is>
          <t>opt-sgdm-lr10 activation_std_linear3</t>
        </is>
      </c>
      <c r="B71" t="n">
        <v>0.5884760022163391</v>
      </c>
      <c r="C71" t="inlineStr">
        <is>
          <t>opt-sgdm-lr10</t>
        </is>
      </c>
    </row>
    <row r="72">
      <c r="A72" t="inlineStr">
        <is>
          <t>loss-mse grad_norm_p90</t>
        </is>
      </c>
      <c r="B72" t="n">
        <v>0.1179633013904095</v>
      </c>
      <c r="C72" t="inlineStr">
        <is>
          <t>loss-mse</t>
        </is>
      </c>
    </row>
    <row r="73">
      <c r="A73" t="inlineStr">
        <is>
          <t>loss-mse max_grad_norm</t>
        </is>
      </c>
      <c r="B73" t="n">
        <v>2.284362554550171</v>
      </c>
      <c r="C73" t="inlineStr">
        <is>
          <t>loss-mse</t>
        </is>
      </c>
    </row>
    <row r="74">
      <c r="A74" t="inlineStr">
        <is>
          <t>loss-mse mean_clip_fraction</t>
        </is>
      </c>
      <c r="B74" t="n">
        <v>0</v>
      </c>
      <c r="C74" t="inlineStr">
        <is>
          <t>loss-mse</t>
        </is>
      </c>
    </row>
    <row r="75">
      <c r="A75" t="inlineStr">
        <is>
          <t>loss-mse activation_std_linear1</t>
        </is>
      </c>
      <c r="B75" t="n">
        <v>0.670907735824585</v>
      </c>
      <c r="C75" t="inlineStr">
        <is>
          <t>loss-mse</t>
        </is>
      </c>
    </row>
    <row r="76">
      <c r="A76" t="inlineStr">
        <is>
          <t>loss-mse activation_std_linear2</t>
        </is>
      </c>
      <c r="B76" t="n">
        <v>0.6491826176643372</v>
      </c>
      <c r="C76" t="inlineStr">
        <is>
          <t>loss-mse</t>
        </is>
      </c>
    </row>
    <row r="77">
      <c r="A77" t="inlineStr">
        <is>
          <t>loss-mse activation_std_linear3</t>
        </is>
      </c>
      <c r="B77" t="n">
        <v>0.5884760022163391</v>
      </c>
      <c r="C77" t="inlineStr">
        <is>
          <t>loss-mse</t>
        </is>
      </c>
    </row>
    <row r="78">
      <c r="A78" t="inlineStr">
        <is>
          <t>lr-high grad_norm_p90</t>
        </is>
      </c>
      <c r="B78" t="n">
        <v>0.3442642271518707</v>
      </c>
      <c r="C78" t="inlineStr">
        <is>
          <t>lr-high</t>
        </is>
      </c>
    </row>
    <row r="79">
      <c r="A79" t="inlineStr">
        <is>
          <t>lr-high max_grad_norm</t>
        </is>
      </c>
      <c r="B79" t="n">
        <v>4.89411449432373</v>
      </c>
      <c r="C79" t="inlineStr">
        <is>
          <t>lr-high</t>
        </is>
      </c>
    </row>
    <row r="80">
      <c r="A80" t="inlineStr">
        <is>
          <t>lr-high mean_clip_fraction</t>
        </is>
      </c>
      <c r="B80" t="n">
        <v>0</v>
      </c>
      <c r="C80" t="inlineStr">
        <is>
          <t>lr-high</t>
        </is>
      </c>
    </row>
    <row r="81">
      <c r="A81" t="inlineStr">
        <is>
          <t>lr-high activation_std_linear1</t>
        </is>
      </c>
      <c r="B81" t="n">
        <v>0.670907735824585</v>
      </c>
      <c r="C81" t="inlineStr">
        <is>
          <t>lr-high</t>
        </is>
      </c>
    </row>
    <row r="82">
      <c r="A82" t="inlineStr">
        <is>
          <t>lr-high activation_std_linear2</t>
        </is>
      </c>
      <c r="B82" t="n">
        <v>0.6491826176643372</v>
      </c>
      <c r="C82" t="inlineStr">
        <is>
          <t>lr-high</t>
        </is>
      </c>
    </row>
    <row r="83">
      <c r="A83" t="inlineStr">
        <is>
          <t>lr-high activation_std_linear3</t>
        </is>
      </c>
      <c r="B83" t="n">
        <v>0.5884760022163391</v>
      </c>
      <c r="C83" t="inlineStr">
        <is>
          <t>lr-high</t>
        </is>
      </c>
    </row>
    <row r="84">
      <c r="A84" t="inlineStr">
        <is>
          <t>dropout-q02 grad_norm_p90</t>
        </is>
      </c>
      <c r="B84" t="n">
        <v>0.4455073595046997</v>
      </c>
      <c r="C84" t="inlineStr">
        <is>
          <t>dropout-q02</t>
        </is>
      </c>
    </row>
    <row r="85">
      <c r="A85" t="inlineStr">
        <is>
          <t>dropout-q02 max_grad_norm</t>
        </is>
      </c>
      <c r="B85" t="n">
        <v>2.941681623458862</v>
      </c>
      <c r="C85" t="inlineStr">
        <is>
          <t>dropout-q02</t>
        </is>
      </c>
    </row>
    <row r="86">
      <c r="A86" t="inlineStr">
        <is>
          <t>dropout-q02 mean_clip_fraction</t>
        </is>
      </c>
      <c r="B86" t="n">
        <v>0</v>
      </c>
      <c r="C86" t="inlineStr">
        <is>
          <t>dropout-q02</t>
        </is>
      </c>
    </row>
    <row r="87">
      <c r="A87" t="inlineStr">
        <is>
          <t>dropout-q02 activation_std_linear1</t>
        </is>
      </c>
      <c r="B87" t="n">
        <v>0.670907735824585</v>
      </c>
      <c r="C87" t="inlineStr">
        <is>
          <t>dropout-q02</t>
        </is>
      </c>
    </row>
    <row r="88">
      <c r="A88" t="inlineStr">
        <is>
          <t>dropout-q02 activation_std_linear2</t>
        </is>
      </c>
      <c r="B88" t="n">
        <v>0.6491826176643372</v>
      </c>
      <c r="C88" t="inlineStr">
        <is>
          <t>dropout-q02</t>
        </is>
      </c>
    </row>
    <row r="89">
      <c r="A89" t="inlineStr">
        <is>
          <t>dropout-q02 activation_std_linear3</t>
        </is>
      </c>
      <c r="B89" t="n">
        <v>0.5884760022163391</v>
      </c>
      <c r="C89" t="inlineStr">
        <is>
          <t>dropout-q02</t>
        </is>
      </c>
    </row>
    <row r="90">
      <c r="A90" t="inlineStr">
        <is>
          <t>clip-high grad_norm_p90</t>
        </is>
      </c>
      <c r="B90" t="n">
        <v>0.3346567064523697</v>
      </c>
      <c r="C90" t="inlineStr">
        <is>
          <t>clip-high</t>
        </is>
      </c>
    </row>
    <row r="91">
      <c r="A91" t="inlineStr">
        <is>
          <t>clip-high max_grad_norm</t>
        </is>
      </c>
      <c r="B91" t="n">
        <v>3.136580944061279</v>
      </c>
      <c r="C91" t="inlineStr">
        <is>
          <t>clip-high</t>
        </is>
      </c>
    </row>
    <row r="92">
      <c r="A92" t="inlineStr">
        <is>
          <t>clip-high mean_clip_fraction</t>
        </is>
      </c>
      <c r="B92" t="n">
        <v>0.000687757909215956</v>
      </c>
      <c r="C92" t="inlineStr">
        <is>
          <t>clip-high</t>
        </is>
      </c>
    </row>
    <row r="93">
      <c r="A93" t="inlineStr">
        <is>
          <t>clip-high activation_std_linear1</t>
        </is>
      </c>
      <c r="B93" t="n">
        <v>0.670907735824585</v>
      </c>
      <c r="C93" t="inlineStr">
        <is>
          <t>clip-high</t>
        </is>
      </c>
    </row>
    <row r="94">
      <c r="A94" t="inlineStr">
        <is>
          <t>clip-high activation_std_linear2</t>
        </is>
      </c>
      <c r="B94" t="n">
        <v>0.6491826176643372</v>
      </c>
      <c r="C94" t="inlineStr">
        <is>
          <t>clip-high</t>
        </is>
      </c>
    </row>
    <row r="95">
      <c r="A95" t="inlineStr">
        <is>
          <t>clip-high activation_std_linear3</t>
        </is>
      </c>
      <c r="B95" t="n">
        <v>0.5884760022163391</v>
      </c>
      <c r="C95" t="inlineStr">
        <is>
          <t>clip-high</t>
        </is>
      </c>
    </row>
    <row r="96">
      <c r="A96" t="inlineStr">
        <is>
          <t>clip-normal grad_norm_p90</t>
        </is>
      </c>
      <c r="B96" t="n">
        <v>1.048419606685639</v>
      </c>
      <c r="C96" t="inlineStr">
        <is>
          <t>clip-normal</t>
        </is>
      </c>
    </row>
    <row r="97">
      <c r="A97" t="inlineStr">
        <is>
          <t>clip-normal max_grad_norm</t>
        </is>
      </c>
      <c r="B97" t="n">
        <v>2.871076583862305</v>
      </c>
      <c r="C97" t="inlineStr">
        <is>
          <t>clip-normal</t>
        </is>
      </c>
    </row>
    <row r="98">
      <c r="A98" t="inlineStr">
        <is>
          <t>clip-normal mean_clip_fraction</t>
        </is>
      </c>
      <c r="B98" t="n">
        <v>0.100687757909216</v>
      </c>
      <c r="C98" t="inlineStr">
        <is>
          <t>clip-normal</t>
        </is>
      </c>
    </row>
    <row r="99">
      <c r="A99" t="inlineStr">
        <is>
          <t>clip-normal activation_std_linear1</t>
        </is>
      </c>
      <c r="B99" t="n">
        <v>0.670907735824585</v>
      </c>
      <c r="C99" t="inlineStr">
        <is>
          <t>clip-normal</t>
        </is>
      </c>
    </row>
    <row r="100">
      <c r="A100" t="inlineStr">
        <is>
          <t>clip-normal activation_std_linear2</t>
        </is>
      </c>
      <c r="B100" t="n">
        <v>0.6491826176643372</v>
      </c>
      <c r="C100" t="inlineStr">
        <is>
          <t>clip-normal</t>
        </is>
      </c>
    </row>
    <row r="101">
      <c r="A101" t="inlineStr">
        <is>
          <t>clip-normal activation_std_linear3</t>
        </is>
      </c>
      <c r="B101" t="n">
        <v>0.5884760022163391</v>
      </c>
      <c r="C101" t="inlineStr">
        <is>
          <t>clip-normal</t>
        </is>
      </c>
    </row>
    <row r="102">
      <c r="A102" t="inlineStr">
        <is>
          <t>amp-bf16 grad_norm_p90</t>
        </is>
      </c>
      <c r="B102" t="n">
        <v>1.041870713233948</v>
      </c>
      <c r="C102" t="inlineStr">
        <is>
          <t>amp-bf16</t>
        </is>
      </c>
    </row>
    <row r="103">
      <c r="A103" t="inlineStr">
        <is>
          <t>amp-bf16 max_grad_norm</t>
        </is>
      </c>
      <c r="B103" t="n">
        <v>2.870093107223511</v>
      </c>
      <c r="C103" t="inlineStr">
        <is>
          <t>amp-bf16</t>
        </is>
      </c>
    </row>
    <row r="104">
      <c r="A104" t="inlineStr">
        <is>
          <t>amp-bf16 mean_clip_fraction</t>
        </is>
      </c>
      <c r="B104" t="n">
        <v>0</v>
      </c>
      <c r="C104" t="inlineStr">
        <is>
          <t>amp-bf16</t>
        </is>
      </c>
    </row>
    <row r="105">
      <c r="A105" t="inlineStr">
        <is>
          <t>amp-bf16 activation_std_linear1</t>
        </is>
      </c>
      <c r="B105" t="n">
        <v>0.670907735824585</v>
      </c>
      <c r="C105" t="inlineStr">
        <is>
          <t>amp-bf16</t>
        </is>
      </c>
    </row>
    <row r="106">
      <c r="A106" t="inlineStr">
        <is>
          <t>amp-bf16 activation_std_linear2</t>
        </is>
      </c>
      <c r="B106" t="n">
        <v>0.6491826176643372</v>
      </c>
      <c r="C106" t="inlineStr">
        <is>
          <t>amp-bf16</t>
        </is>
      </c>
    </row>
    <row r="107">
      <c r="A107" t="inlineStr">
        <is>
          <t>amp-bf16 activation_std_linear3</t>
        </is>
      </c>
      <c r="B107" t="n">
        <v>0.5884760022163391</v>
      </c>
      <c r="C107" t="inlineStr">
        <is>
          <t>amp-bf16</t>
        </is>
      </c>
    </row>
    <row r="108">
      <c r="A108" t="inlineStr">
        <is>
          <t>init-xavier grad_norm_p90</t>
        </is>
      </c>
      <c r="B108" t="n">
        <v>1.11736775636673</v>
      </c>
      <c r="C108" t="inlineStr">
        <is>
          <t>init-xavier</t>
        </is>
      </c>
    </row>
    <row r="109">
      <c r="A109" t="inlineStr">
        <is>
          <t>init-xavier max_grad_norm</t>
        </is>
      </c>
      <c r="B109" t="n">
        <v>2.147430896759033</v>
      </c>
      <c r="C109" t="inlineStr">
        <is>
          <t>init-xavier</t>
        </is>
      </c>
    </row>
    <row r="110">
      <c r="A110" t="inlineStr">
        <is>
          <t>init-xavier mean_clip_fraction</t>
        </is>
      </c>
      <c r="B110" t="n">
        <v>0</v>
      </c>
      <c r="C110" t="inlineStr">
        <is>
          <t>init-xavier</t>
        </is>
      </c>
    </row>
    <row r="111">
      <c r="A111" t="inlineStr">
        <is>
          <t>init-xavier activation_std_linear1</t>
        </is>
      </c>
      <c r="B111" t="n">
        <v>0.280013382434845</v>
      </c>
      <c r="C111" t="inlineStr">
        <is>
          <t>init-xavier</t>
        </is>
      </c>
    </row>
    <row r="112">
      <c r="A112" t="inlineStr">
        <is>
          <t>init-xavier activation_std_linear2</t>
        </is>
      </c>
      <c r="B112" t="n">
        <v>0.2212265580892563</v>
      </c>
      <c r="C112" t="inlineStr">
        <is>
          <t>init-xavier</t>
        </is>
      </c>
    </row>
    <row r="113">
      <c r="A113" t="inlineStr">
        <is>
          <t>init-xavier activation_std_linear3</t>
        </is>
      </c>
      <c r="B113" t="n">
        <v>0.1952707767486572</v>
      </c>
      <c r="C113" t="inlineStr">
        <is>
          <t>init-xavier</t>
        </is>
      </c>
    </row>
    <row r="114">
      <c r="A114" t="inlineStr">
        <is>
          <t>init-zeros grad_norm_p90</t>
        </is>
      </c>
      <c r="B114" t="n">
        <v>0.05470000244677067</v>
      </c>
      <c r="C114" t="inlineStr">
        <is>
          <t>init-zeros</t>
        </is>
      </c>
    </row>
    <row r="115">
      <c r="A115" t="inlineStr">
        <is>
          <t>init-zeros max_grad_norm</t>
        </is>
      </c>
      <c r="B115" t="n">
        <v>0.4978931844234467</v>
      </c>
      <c r="C115" t="inlineStr">
        <is>
          <t>init-zeros</t>
        </is>
      </c>
    </row>
    <row r="116">
      <c r="A116" t="inlineStr">
        <is>
          <t>init-zeros mean_clip_fraction</t>
        </is>
      </c>
      <c r="B116" t="n">
        <v>0</v>
      </c>
      <c r="C116" t="inlineStr">
        <is>
          <t>init-zeros</t>
        </is>
      </c>
    </row>
    <row r="117">
      <c r="A117" t="inlineStr">
        <is>
          <t>init-zeros activation_std_linear1</t>
        </is>
      </c>
      <c r="B117" t="n">
        <v>0</v>
      </c>
      <c r="C117" t="inlineStr">
        <is>
          <t>init-zeros</t>
        </is>
      </c>
    </row>
    <row r="118">
      <c r="A118" t="inlineStr">
        <is>
          <t>init-zeros activation_std_linear2</t>
        </is>
      </c>
      <c r="B118" t="n">
        <v>0</v>
      </c>
      <c r="C118" t="inlineStr">
        <is>
          <t>init-zeros</t>
        </is>
      </c>
    </row>
    <row r="119">
      <c r="A119" t="inlineStr">
        <is>
          <t>init-zeros activation_std_linear3</t>
        </is>
      </c>
      <c r="B119" t="n">
        <v>0</v>
      </c>
      <c r="C119" t="inlineStr">
        <is>
          <t>init-zeros</t>
        </is>
      </c>
    </row>
    <row r="121">
      <c r="A121" t="inlineStr">
        <is>
          <t>baseline eval class</t>
        </is>
      </c>
      <c r="B121" t="inlineStr">
        <is>
          <t>support</t>
        </is>
      </c>
      <c r="C121" t="inlineStr">
        <is>
          <t>precision</t>
        </is>
      </c>
      <c r="D121" t="inlineStr">
        <is>
          <t>recall</t>
        </is>
      </c>
      <c r="E121" t="inlineStr">
        <is>
          <t>F1</t>
        </is>
      </c>
    </row>
    <row r="122">
      <c r="A122" t="n">
        <v>0</v>
      </c>
      <c r="B122" t="n">
        <v>42368</v>
      </c>
      <c r="C122" t="n">
        <v>0.939004941305655</v>
      </c>
      <c r="D122" t="n">
        <v>0.8477152567975831</v>
      </c>
      <c r="E122" t="n">
        <v>0.8910279469590782</v>
      </c>
    </row>
    <row r="123">
      <c r="A123" t="n">
        <v>1</v>
      </c>
      <c r="B123" t="n">
        <v>56661</v>
      </c>
      <c r="C123" t="n">
        <v>0.8822202977172829</v>
      </c>
      <c r="D123" t="n">
        <v>0.9528776407052469</v>
      </c>
      <c r="E123" t="n">
        <v>0.916188698455795</v>
      </c>
    </row>
    <row r="124">
      <c r="A124" t="n">
        <v>2</v>
      </c>
      <c r="B124" t="n">
        <v>7151</v>
      </c>
      <c r="C124" t="n">
        <v>0.8950786549285611</v>
      </c>
      <c r="D124" t="n">
        <v>0.8672912879317578</v>
      </c>
      <c r="E124" t="n">
        <v>0.8809659090909091</v>
      </c>
    </row>
    <row r="125">
      <c r="A125" t="n">
        <v>3</v>
      </c>
      <c r="B125" t="n">
        <v>549</v>
      </c>
      <c r="C125" t="n">
        <v>0.792910447761194</v>
      </c>
      <c r="D125" t="n">
        <v>0.7741347905282332</v>
      </c>
      <c r="E125" t="n">
        <v>0.7834101382488481</v>
      </c>
    </row>
    <row r="126">
      <c r="A126" t="n">
        <v>4</v>
      </c>
      <c r="B126" t="n">
        <v>1899</v>
      </c>
      <c r="C126" t="n">
        <v>0.8496188496188496</v>
      </c>
      <c r="D126" t="n">
        <v>0.6456029489204844</v>
      </c>
      <c r="E126" t="n">
        <v>0.7336923997606223</v>
      </c>
    </row>
    <row r="127">
      <c r="A127" t="n">
        <v>5</v>
      </c>
      <c r="B127" t="n">
        <v>3473</v>
      </c>
      <c r="C127" t="n">
        <v>0.7810721772985924</v>
      </c>
      <c r="D127" t="n">
        <v>0.7509357903829542</v>
      </c>
      <c r="E127" t="n">
        <v>0.7657075748678802</v>
      </c>
    </row>
    <row r="128">
      <c r="A128" t="n">
        <v>6</v>
      </c>
      <c r="B128" t="n">
        <v>4102</v>
      </c>
      <c r="C128" t="n">
        <v>0.8671251109139307</v>
      </c>
      <c r="D128" t="n">
        <v>0.9529497805948318</v>
      </c>
      <c r="E128" t="n">
        <v>0.9080139372822299</v>
      </c>
    </row>
    <row r="129">
      <c r="A129" t="inlineStr">
        <is>
          <t>baseline confusion matrix (true rows / predicted columns)</t>
        </is>
      </c>
    </row>
    <row r="130">
      <c r="A130" t="n">
        <v>35916</v>
      </c>
      <c r="B130" t="n">
        <v>5862</v>
      </c>
      <c r="C130" t="n">
        <v>4</v>
      </c>
      <c r="D130" t="n">
        <v>0</v>
      </c>
      <c r="E130" t="n">
        <v>40</v>
      </c>
      <c r="F130" t="n">
        <v>12</v>
      </c>
      <c r="G130" t="n">
        <v>534</v>
      </c>
    </row>
    <row r="131">
      <c r="A131" t="n">
        <v>2162</v>
      </c>
      <c r="B131" t="n">
        <v>53991</v>
      </c>
      <c r="C131" t="n">
        <v>104</v>
      </c>
      <c r="D131" t="n">
        <v>2</v>
      </c>
      <c r="E131" t="n">
        <v>161</v>
      </c>
      <c r="F131" t="n">
        <v>176</v>
      </c>
      <c r="G131" t="n">
        <v>65</v>
      </c>
    </row>
    <row r="132">
      <c r="A132" t="n">
        <v>0</v>
      </c>
      <c r="B132" t="n">
        <v>359</v>
      </c>
      <c r="C132" t="n">
        <v>6202</v>
      </c>
      <c r="D132" t="n">
        <v>91</v>
      </c>
      <c r="E132" t="n">
        <v>13</v>
      </c>
      <c r="F132" t="n">
        <v>486</v>
      </c>
      <c r="G132" t="n">
        <v>0</v>
      </c>
    </row>
    <row r="133">
      <c r="A133" t="n">
        <v>0</v>
      </c>
      <c r="B133" t="n">
        <v>1</v>
      </c>
      <c r="C133" t="n">
        <v>71</v>
      </c>
      <c r="D133" t="n">
        <v>425</v>
      </c>
      <c r="E133" t="n">
        <v>0</v>
      </c>
      <c r="F133" t="n">
        <v>52</v>
      </c>
      <c r="G133" t="n">
        <v>0</v>
      </c>
    </row>
    <row r="134">
      <c r="A134" t="n">
        <v>18</v>
      </c>
      <c r="B134" t="n">
        <v>620</v>
      </c>
      <c r="C134" t="n">
        <v>30</v>
      </c>
      <c r="D134" t="n">
        <v>0</v>
      </c>
      <c r="E134" t="n">
        <v>1226</v>
      </c>
      <c r="F134" t="n">
        <v>5</v>
      </c>
      <c r="G134" t="n">
        <v>0</v>
      </c>
    </row>
    <row r="135">
      <c r="A135" t="n">
        <v>5</v>
      </c>
      <c r="B135" t="n">
        <v>322</v>
      </c>
      <c r="C135" t="n">
        <v>518</v>
      </c>
      <c r="D135" t="n">
        <v>18</v>
      </c>
      <c r="E135" t="n">
        <v>2</v>
      </c>
      <c r="F135" t="n">
        <v>2608</v>
      </c>
      <c r="G135" t="n">
        <v>0</v>
      </c>
    </row>
    <row r="136">
      <c r="A136" t="n">
        <v>148</v>
      </c>
      <c r="B136" t="n">
        <v>44</v>
      </c>
      <c r="C136" t="n">
        <v>0</v>
      </c>
      <c r="D136" t="n">
        <v>0</v>
      </c>
      <c r="E136" t="n">
        <v>1</v>
      </c>
      <c r="F136" t="n">
        <v>0</v>
      </c>
      <c r="G136" t="n">
        <v>3909</v>
      </c>
    </row>
    <row r="138">
      <c r="A138" t="inlineStr">
        <is>
          <t>final eval class</t>
        </is>
      </c>
      <c r="B138" t="inlineStr">
        <is>
          <t>support</t>
        </is>
      </c>
      <c r="C138" t="inlineStr">
        <is>
          <t>precision</t>
        </is>
      </c>
      <c r="D138" t="inlineStr">
        <is>
          <t>recall</t>
        </is>
      </c>
      <c r="E138" t="inlineStr">
        <is>
          <t>F1</t>
        </is>
      </c>
    </row>
    <row r="139">
      <c r="A139" t="n">
        <v>0</v>
      </c>
      <c r="B139" t="n">
        <v>42368</v>
      </c>
      <c r="C139" t="n">
        <v>0.9180512329423031</v>
      </c>
      <c r="D139" t="n">
        <v>0.9050934667673716</v>
      </c>
      <c r="E139" t="n">
        <v>0.9115263020276212</v>
      </c>
    </row>
    <row r="140">
      <c r="A140" t="n">
        <v>1</v>
      </c>
      <c r="B140" t="n">
        <v>56661</v>
      </c>
      <c r="C140" t="n">
        <v>0.9173157785896464</v>
      </c>
      <c r="D140" t="n">
        <v>0.9394468858650571</v>
      </c>
      <c r="E140" t="n">
        <v>0.9282494397893434</v>
      </c>
    </row>
    <row r="141">
      <c r="A141" t="n">
        <v>2</v>
      </c>
      <c r="B141" t="n">
        <v>7151</v>
      </c>
      <c r="C141" t="n">
        <v>0.929673849737915</v>
      </c>
      <c r="D141" t="n">
        <v>0.8928821143895959</v>
      </c>
      <c r="E141" t="n">
        <v>0.9109066267208789</v>
      </c>
    </row>
    <row r="142">
      <c r="A142" t="n">
        <v>3</v>
      </c>
      <c r="B142" t="n">
        <v>549</v>
      </c>
      <c r="C142" t="n">
        <v>0.8270944741532977</v>
      </c>
      <c r="D142" t="n">
        <v>0.8451730418943534</v>
      </c>
      <c r="E142" t="n">
        <v>0.836036036036036</v>
      </c>
    </row>
    <row r="143">
      <c r="A143" t="n">
        <v>4</v>
      </c>
      <c r="B143" t="n">
        <v>1899</v>
      </c>
      <c r="C143" t="n">
        <v>0.8344060854300761</v>
      </c>
      <c r="D143" t="n">
        <v>0.7509215376513955</v>
      </c>
      <c r="E143" t="n">
        <v>0.7904656319290465</v>
      </c>
    </row>
    <row r="144">
      <c r="A144" t="n">
        <v>5</v>
      </c>
      <c r="B144" t="n">
        <v>3473</v>
      </c>
      <c r="C144" t="n">
        <v>0.8558665872543181</v>
      </c>
      <c r="D144" t="n">
        <v>0.8275266340339764</v>
      </c>
      <c r="E144" t="n">
        <v>0.8414580588493632</v>
      </c>
    </row>
    <row r="145">
      <c r="A145" t="n">
        <v>6</v>
      </c>
      <c r="B145" t="n">
        <v>4102</v>
      </c>
      <c r="C145" t="n">
        <v>0.9478127398311589</v>
      </c>
      <c r="D145" t="n">
        <v>0.9032179424670892</v>
      </c>
      <c r="E145" t="n">
        <v>0.9249781550368243</v>
      </c>
    </row>
    <row r="146">
      <c r="A146" t="inlineStr">
        <is>
          <t>final confusion matrix (true rows / predicted columns)</t>
        </is>
      </c>
    </row>
    <row r="147">
      <c r="A147" t="n">
        <v>38347</v>
      </c>
      <c r="B147" t="n">
        <v>3789</v>
      </c>
      <c r="C147" t="n">
        <v>5</v>
      </c>
      <c r="D147" t="n">
        <v>0</v>
      </c>
      <c r="E147" t="n">
        <v>39</v>
      </c>
      <c r="F147" t="n">
        <v>10</v>
      </c>
      <c r="G147" t="n">
        <v>178</v>
      </c>
    </row>
    <row r="148">
      <c r="A148" t="n">
        <v>3035</v>
      </c>
      <c r="B148" t="n">
        <v>53230</v>
      </c>
      <c r="C148" t="n">
        <v>80</v>
      </c>
      <c r="D148" t="n">
        <v>0</v>
      </c>
      <c r="E148" t="n">
        <v>212</v>
      </c>
      <c r="F148" t="n">
        <v>78</v>
      </c>
      <c r="G148" t="n">
        <v>26</v>
      </c>
    </row>
    <row r="149">
      <c r="A149" t="n">
        <v>1</v>
      </c>
      <c r="B149" t="n">
        <v>305</v>
      </c>
      <c r="C149" t="n">
        <v>6385</v>
      </c>
      <c r="D149" t="n">
        <v>82</v>
      </c>
      <c r="E149" t="n">
        <v>21</v>
      </c>
      <c r="F149" t="n">
        <v>357</v>
      </c>
      <c r="G149" t="n">
        <v>0</v>
      </c>
    </row>
    <row r="150">
      <c r="A150" t="n">
        <v>0</v>
      </c>
      <c r="B150" t="n">
        <v>2</v>
      </c>
      <c r="C150" t="n">
        <v>49</v>
      </c>
      <c r="D150" t="n">
        <v>464</v>
      </c>
      <c r="E150" t="n">
        <v>0</v>
      </c>
      <c r="F150" t="n">
        <v>34</v>
      </c>
      <c r="G150" t="n">
        <v>0</v>
      </c>
    </row>
    <row r="151">
      <c r="A151" t="n">
        <v>24</v>
      </c>
      <c r="B151" t="n">
        <v>419</v>
      </c>
      <c r="C151" t="n">
        <v>25</v>
      </c>
      <c r="D151" t="n">
        <v>0</v>
      </c>
      <c r="E151" t="n">
        <v>1426</v>
      </c>
      <c r="F151" t="n">
        <v>5</v>
      </c>
      <c r="G151" t="n">
        <v>0</v>
      </c>
    </row>
    <row r="152">
      <c r="A152" t="n">
        <v>12</v>
      </c>
      <c r="B152" t="n">
        <v>238</v>
      </c>
      <c r="C152" t="n">
        <v>324</v>
      </c>
      <c r="D152" t="n">
        <v>15</v>
      </c>
      <c r="E152" t="n">
        <v>10</v>
      </c>
      <c r="F152" t="n">
        <v>2874</v>
      </c>
      <c r="G152" t="n">
        <v>0</v>
      </c>
    </row>
    <row r="153">
      <c r="A153" t="n">
        <v>351</v>
      </c>
      <c r="B153" t="n">
        <v>45</v>
      </c>
      <c r="C153" t="n">
        <v>0</v>
      </c>
      <c r="D153" t="n">
        <v>0</v>
      </c>
      <c r="E153" t="n">
        <v>1</v>
      </c>
      <c r="F153" t="n">
        <v>0</v>
      </c>
      <c r="G153" t="n">
        <v>3705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2026-10-02T03:40:32Z</dcterms:created>
  <dcterms:modified xsi:type="dcterms:W3CDTF">2026-10-04T06:13:43Z</dcterms:modified>
  <cp:revision>0</cp:revision>
</cp:coreProperties>
</file>