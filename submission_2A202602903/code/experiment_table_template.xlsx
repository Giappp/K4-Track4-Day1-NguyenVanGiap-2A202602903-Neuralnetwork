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Experiments" sheetId="2" state="visible" r:id="rId4"/>
    <sheet name="Seeds" sheetId="3" state="visible" r:id="rId5"/>
    <sheet name="Summary" sheetId="4" state="visible" r:id="rId6"/>
  </sheets>
  <definedNames>
    <definedName function="false" hidden="true" localSheetId="1" name="_xlnm._FilterDatabase" vbProcedure="false">Experiments!$A$1:$AG$61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<sst xmlns="http://schemas.openxmlformats.org/spreadsheetml/2006/main" count="211" uniqueCount="145">
  <si>
    <t xml:space="preserve">Bảng so sánh thí nghiệm — Lab Day 1</t>
  </si>
  <si>
    <t xml:space="preserve">Lưu file này thành experiments.xlsx. Mỗi lần chạy là một dòng ở sheet Experiments (số dòng tuỳ bạn, có sẵn 60 dòng). Sheet Seeds và Summary tự tổng hợp.</t>
  </si>
  <si>
    <t xml:space="preserve">Quy ước màu</t>
  </si>
  <si>
    <t xml:space="preserve">   </t>
  </si>
  <si>
    <t xml:space="preserve">Ô vàng: bạn điền (cấu hình và kết quả đo).</t>
  </si>
  <si>
    <t xml:space="preserve">abc</t>
  </si>
  <si>
    <t xml:space="preserve">Chữ xanh dương: giá trị đã điền sẵn cho dòng baseline; bạn có thể sửa.</t>
  </si>
  <si>
    <t xml:space="preserve">Ô xám: công thức tự tính. Không sửa.</t>
  </si>
  <si>
    <t xml:space="preserve">Cách dùng</t>
  </si>
  <si>
    <t xml:space="preserve">1. Sheet Experiments: dòng đầu là baseline mẫu. Điền lr và kết quả; thêm dòng cho mỗi thí nghiệm khác.</t>
  </si>
  <si>
    <t xml:space="preserve">2. Mỗi dòng phải có ảnh riêng figures/&lt;exp_id&gt;.png. Điền tên file vào cột figure_file.</t>
  </si>
  <si>
    <t xml:space="preserve">3. Sheet Seeds: nhập exp_id của các lần chạy baseline với seed khác nhau (đã gợi ý base-s1..3). Sheet tự tính trung bình, σ và 2σ.</t>
  </si>
  <si>
    <t xml:space="preserve">4. Cột beyond_noise cho biết chênh lệch val_macro_f1 so với baseline có vượt 2σ không. Chỉ 'Có' mới là bằng chứng.</t>
  </si>
  <si>
    <t xml:space="preserve">5. Sheet Summary: số dòng theo nhóm và số chủ đề (trong 7) đã được thử.</t>
  </si>
  <si>
    <t xml:space="preserve">Từ điển cột (sheet Experiments)</t>
  </si>
  <si>
    <t xml:space="preserve">Cột</t>
  </si>
  <si>
    <t xml:space="preserve">Ý nghĩa</t>
  </si>
  <si>
    <t xml:space="preserve">Cách điền</t>
  </si>
  <si>
    <t xml:space="preserve">exp_id</t>
  </si>
  <si>
    <t xml:space="preserve">Mã thí nghiệm, duy nhất; trùng tên file ảnh</t>
  </si>
  <si>
    <t xml:space="preserve">Tự đặt, ví dụ base-s1, opt-adam-lr1e-3, drop-0.3.</t>
  </si>
  <si>
    <t xml:space="preserve">group</t>
  </si>
  <si>
    <t xml:space="preserve">Nhóm: baseline | loss | optimizer | hparam | dropout | clipping | amp | init | final | other</t>
  </si>
  <si>
    <t xml:space="preserve">Chọn từ danh sách.</t>
  </si>
  <si>
    <t xml:space="preserve">description</t>
  </si>
  <si>
    <t xml:space="preserve">Bạn đổi gì so với baseline</t>
  </si>
  <si>
    <t xml:space="preserve">Một câu.</t>
  </si>
  <si>
    <t xml:space="preserve">loss</t>
  </si>
  <si>
    <t xml:space="preserve">Hàm mất mát: CE | MSE</t>
  </si>
  <si>
    <t xml:space="preserve">optimizer</t>
  </si>
  <si>
    <t xml:space="preserve">SGD | SGD+momentum | Adam | AdamW</t>
  </si>
  <si>
    <t xml:space="preserve">lr</t>
  </si>
  <si>
    <t xml:space="preserve">Tốc độ học η</t>
  </si>
  <si>
    <t xml:space="preserve">Ghi số, ví dụ 0.05 hoặc 1e-3.</t>
  </si>
  <si>
    <t xml:space="preserve">weight_decay</t>
  </si>
  <si>
    <t xml:space="preserve">Hệ số suy giảm trọng số λ</t>
  </si>
  <si>
    <t xml:space="preserve">0 nếu không dùng.</t>
  </si>
  <si>
    <t xml:space="preserve">batch</t>
  </si>
  <si>
    <t xml:space="preserve">Kích thước lô</t>
  </si>
  <si>
    <t xml:space="preserve">Số nguyên.</t>
  </si>
  <si>
    <t xml:space="preserve">epochs</t>
  </si>
  <si>
    <t xml:space="preserve">Số epoch</t>
  </si>
  <si>
    <t xml:space="preserve">Khuyến nghị 20 cho mọi thí nghiệm.</t>
  </si>
  <si>
    <t xml:space="preserve">hidden</t>
  </si>
  <si>
    <t xml:space="preserve">Các lớp ẩn, ví dụ 256-128</t>
  </si>
  <si>
    <t xml:space="preserve">Chuỗi nối bằng dấu gạch.</t>
  </si>
  <si>
    <t xml:space="preserve">dropout</t>
  </si>
  <si>
    <t xml:space="preserve">Xác suất tắt nơ-ron q</t>
  </si>
  <si>
    <t xml:space="preserve">clip_norm</t>
  </si>
  <si>
    <t xml:space="preserve">Ngưỡng cắt gradient c</t>
  </si>
  <si>
    <t xml:space="preserve">'none' nếu không clip, hoặc số.</t>
  </si>
  <si>
    <t xml:space="preserve">precision</t>
  </si>
  <si>
    <t xml:space="preserve">fp32 | fp16 | bf16</t>
  </si>
  <si>
    <t xml:space="preserve">init</t>
  </si>
  <si>
    <t xml:space="preserve">zeros | normal | xavier | he | default</t>
  </si>
  <si>
    <t xml:space="preserve">Chọn từ danh sách; 'default' = mặc định của nn.Linear.</t>
  </si>
  <si>
    <t xml:space="preserve">seed</t>
  </si>
  <si>
    <t xml:space="preserve">Seed của lần chạy</t>
  </si>
  <si>
    <t xml:space="preserve">step0_loss</t>
  </si>
  <si>
    <t xml:space="preserve">Loss trên val ở bước 0 (trước cập nhật đầu tiên)</t>
  </si>
  <si>
    <t xml:space="preserve">Kỳ vọng ≈ ln 7 = 1.946 nếu khởi tạo hợp lý.</t>
  </si>
  <si>
    <t xml:space="preserve">best_val_loss</t>
  </si>
  <si>
    <t xml:space="preserve">Val loss thấp nhất qua các epoch</t>
  </si>
  <si>
    <t xml:space="preserve">best_epoch</t>
  </si>
  <si>
    <t xml:space="preserve">Epoch đạt best_val_loss</t>
  </si>
  <si>
    <t xml:space="preserve">Đếm từ 1.</t>
  </si>
  <si>
    <t xml:space="preserve">final_train_loss</t>
  </si>
  <si>
    <t xml:space="preserve">Train loss ở epoch cuối (đo ở chế độ eval)</t>
  </si>
  <si>
    <t xml:space="preserve">final_val_loss</t>
  </si>
  <si>
    <t xml:space="preserve">Val loss ở epoch cuối</t>
  </si>
  <si>
    <t xml:space="preserve">val_acc</t>
  </si>
  <si>
    <t xml:space="preserve">Val accuracy ở best_epoch</t>
  </si>
  <si>
    <t xml:space="preserve">Phân số 0–1, ví dụ 0.8123.</t>
  </si>
  <si>
    <t xml:space="preserve">val_macro_f1</t>
  </si>
  <si>
    <t xml:space="preserve">Val macro-F1 ở best_epoch</t>
  </si>
  <si>
    <t xml:space="preserve">Phân số 0–1.</t>
  </si>
  <si>
    <t xml:space="preserve">time_per_epoch_s</t>
  </si>
  <si>
    <t xml:space="preserve">Thời gian trung bình mỗi epoch (giây)</t>
  </si>
  <si>
    <t xml:space="preserve">Có torch.cuda.synchronize().</t>
  </si>
  <si>
    <t xml:space="preserve">peak_mem_MB</t>
  </si>
  <si>
    <t xml:space="preserve">Bộ nhớ GPU cực đại (MB)</t>
  </si>
  <si>
    <t xml:space="preserve">torch.cuda.max_memory_allocated()/2**20.</t>
  </si>
  <si>
    <t xml:space="preserve">diverged</t>
  </si>
  <si>
    <t xml:space="preserve">Loss thành NaN/inf? Y | N</t>
  </si>
  <si>
    <t xml:space="preserve">eval_acc</t>
  </si>
  <si>
    <t xml:space="preserve">Accuracy trên tập eval</t>
  </si>
  <si>
    <t xml:space="preserve">CHỈ điền cho baseline và cấu hình cuối cùng, lấy từ eval_result.json.</t>
  </si>
  <si>
    <t xml:space="preserve">eval_macro_f1</t>
  </si>
  <si>
    <t xml:space="preserve">macro-F1 trên tập eval</t>
  </si>
  <si>
    <t xml:space="preserve">figure_file</t>
  </si>
  <si>
    <t xml:space="preserve">Tên file ảnh</t>
  </si>
  <si>
    <t xml:space="preserve">figures/&lt;exp_id&gt;.png</t>
  </si>
  <si>
    <t xml:space="preserve">notes</t>
  </si>
  <si>
    <t xml:space="preserve">Ghi chú</t>
  </si>
  <si>
    <t xml:space="preserve">Dự đoán trước, quan sát, lý do thiếu số liệu, lỗi gặp phải...</t>
  </si>
  <si>
    <t xml:space="preserve">step0_gap_vs_lnC</t>
  </si>
  <si>
    <t xml:space="preserve">step0_loss − ln 7</t>
  </si>
  <si>
    <t xml:space="preserve">Tự tính. Gần 0 là tốt.</t>
  </si>
  <si>
    <t xml:space="preserve">gap_val_minus_train</t>
  </si>
  <si>
    <t xml:space="preserve">final_val_loss − final_train_loss</t>
  </si>
  <si>
    <t xml:space="preserve">Tự tính. Khoảng cách quá khớp.</t>
  </si>
  <si>
    <t xml:space="preserve">delta_val_f1_vs_base</t>
  </si>
  <si>
    <t xml:space="preserve">val_macro_f1 − trung bình baseline</t>
  </si>
  <si>
    <t xml:space="preserve">Tự tính từ sheet Seeds.</t>
  </si>
  <si>
    <t xml:space="preserve">beyond_noise</t>
  </si>
  <si>
    <t xml:space="preserve">|delta| &gt; 2σ_seed ?</t>
  </si>
  <si>
    <t xml:space="preserve">Tự tính: Có / Không. Cần ≥ 2 seed baseline trong sheet Seeds.</t>
  </si>
  <si>
    <t xml:space="preserve">Ví dụ một dòng điền xong (SỐ MINH HOẠ ĐỊNH DẠNG, KHÔNG PHẢI KẾT QUẢ THẬT — đừng sao chép)</t>
  </si>
  <si>
    <t xml:space="preserve">opt-adam-lr1e-3</t>
  </si>
  <si>
    <t xml:space="preserve">Adam</t>
  </si>
  <si>
    <t xml:space="preserve">N</t>
  </si>
  <si>
    <t xml:space="preserve">figures/opt-adam-lr1e-3.png</t>
  </si>
  <si>
    <t xml:space="preserve">ln 7 = 1.9459 (loss bước 0 kỳ vọng với 7 lớp). Ngưỡng nhiễu = 2 × độ lệch chuẩn của các seed baseline.</t>
  </si>
  <si>
    <t xml:space="preserve">base-s1</t>
  </si>
  <si>
    <t xml:space="preserve">baseline</t>
  </si>
  <si>
    <t xml:space="preserve">Baseline M-base, seed 1</t>
  </si>
  <si>
    <t xml:space="preserve">CE</t>
  </si>
  <si>
    <t xml:space="preserve">SGD+momentum</t>
  </si>
  <si>
    <t xml:space="preserve">256-128</t>
  </si>
  <si>
    <t xml:space="preserve">none</t>
  </si>
  <si>
    <t xml:space="preserve">fp32</t>
  </si>
  <si>
    <t xml:space="preserve">he</t>
  </si>
  <si>
    <t xml:space="preserve">exp_id baseline (nhập)</t>
  </si>
  <si>
    <t xml:space="preserve">base-s2</t>
  </si>
  <si>
    <t xml:space="preserve">base-s3</t>
  </si>
  <si>
    <t xml:space="preserve">mean</t>
  </si>
  <si>
    <t xml:space="preserve">std (mẫu)</t>
  </si>
  <si>
    <t xml:space="preserve">2σ (ngưỡng nhiễu)</t>
  </si>
  <si>
    <t xml:space="preserve">Nhập exp_id của các lần chạy baseline (khác seed) ở cột A. Cần ≥ 2 seed để có σ.</t>
  </si>
  <si>
    <t xml:space="preserve">Mọi chênh lệch nhỏ hơn 2σ không được coi là bằng chứng. Với ít seed, σ chỉ là ước lượng thô; nêu rõ trong báo cáo.</t>
  </si>
  <si>
    <t xml:space="preserve">số dòng</t>
  </si>
  <si>
    <t xml:space="preserve">đã điền val_macro_f1</t>
  </si>
  <si>
    <t xml:space="preserve">val_macro_f1 cao nhất</t>
  </si>
  <si>
    <t xml:space="preserve">val_macro_f1 thấp nhất</t>
  </si>
  <si>
    <t xml:space="preserve">val_acc cao nhất</t>
  </si>
  <si>
    <t xml:space="preserve">đã thử chủ đề này?</t>
  </si>
  <si>
    <t xml:space="preserve">nhận xét ngắn (bạn viết)</t>
  </si>
  <si>
    <t xml:space="preserve">—</t>
  </si>
  <si>
    <t xml:space="preserve">hparam</t>
  </si>
  <si>
    <t xml:space="preserve">clipping</t>
  </si>
  <si>
    <t xml:space="preserve">amp</t>
  </si>
  <si>
    <t xml:space="preserve">final</t>
  </si>
  <si>
    <t xml:space="preserve">other</t>
  </si>
  <si>
    <t xml:space="preserve">Số chủ đề (trong 7) đã thử:</t>
  </si>
  <si>
    <t xml:space="preserve">7 chủ đề: loss, optimizer, hparam, dropout, clipping, amp, init. Một chủ đề 'đã thử' khi có ≥ 1 dòng có val_macro_f1.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</si>
</sst>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52"/>
    <col collapsed="false" customWidth="true" hidden="false" outlineLevel="0" max="12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2" t="s">
        <v>4</v>
      </c>
    </row>
    <row r="6" customFormat="false" ht="15" hidden="false" customHeight="false" outlineLevel="0" collapsed="false">
      <c r="A6" s="5" t="s">
        <v>5</v>
      </c>
      <c r="B6" s="2" t="s">
        <v>6</v>
      </c>
    </row>
    <row r="7" customFormat="false" ht="15" hidden="false" customHeight="false" outlineLevel="0" collapsed="false">
      <c r="A7" s="6" t="s">
        <v>3</v>
      </c>
      <c r="B7" s="2" t="s">
        <v>7</v>
      </c>
    </row>
    <row r="9" customFormat="false" ht="15" hidden="false" customHeight="false" outlineLevel="0" collapsed="false">
      <c r="A9" s="3" t="s">
        <v>8</v>
      </c>
    </row>
    <row r="10" customFormat="false" ht="15" hidden="false" customHeight="false" outlineLevel="0" collapsed="false">
      <c r="A10" s="2" t="s">
        <v>9</v>
      </c>
    </row>
    <row r="11" customFormat="false" ht="15" hidden="false" customHeight="false" outlineLevel="0" collapsed="false">
      <c r="A11" s="2" t="s">
        <v>10</v>
      </c>
    </row>
    <row r="12" customFormat="false" ht="15" hidden="false" customHeight="false" outlineLevel="0" collapsed="false">
      <c r="A12" s="2" t="s">
        <v>11</v>
      </c>
    </row>
    <row r="13" customFormat="false" ht="15" hidden="false" customHeight="false" outlineLevel="0" collapsed="false">
      <c r="A13" s="2" t="s">
        <v>12</v>
      </c>
    </row>
    <row r="14" customFormat="false" ht="15" hidden="false" customHeight="false" outlineLevel="0" collapsed="false">
      <c r="A14" s="2" t="s">
        <v>13</v>
      </c>
    </row>
    <row r="16" customFormat="false" ht="15" hidden="false" customHeight="false" outlineLevel="0" collapsed="false">
      <c r="A16" s="3" t="s">
        <v>14</v>
      </c>
    </row>
    <row r="17" customFormat="false" ht="15" hidden="false" customHeight="false" outlineLevel="0" collapsed="false">
      <c r="A17" s="7" t="s">
        <v>15</v>
      </c>
      <c r="B17" s="7" t="s">
        <v>16</v>
      </c>
      <c r="C17" s="7" t="s">
        <v>17</v>
      </c>
    </row>
    <row r="18" customFormat="false" ht="15" hidden="false" customHeight="false" outlineLevel="0" collapsed="false">
      <c r="A18" s="8" t="s">
        <v>18</v>
      </c>
      <c r="B18" s="9" t="s">
        <v>19</v>
      </c>
      <c r="C18" s="9" t="s">
        <v>20</v>
      </c>
    </row>
    <row r="19" customFormat="false" ht="23.85" hidden="false" customHeight="false" outlineLevel="0" collapsed="false">
      <c r="A19" s="8" t="s">
        <v>21</v>
      </c>
      <c r="B19" s="9" t="s">
        <v>22</v>
      </c>
      <c r="C19" s="9" t="s">
        <v>23</v>
      </c>
    </row>
    <row r="20" customFormat="false" ht="15" hidden="false" customHeight="false" outlineLevel="0" collapsed="false">
      <c r="A20" s="8" t="s">
        <v>24</v>
      </c>
      <c r="B20" s="9" t="s">
        <v>25</v>
      </c>
      <c r="C20" s="9" t="s">
        <v>26</v>
      </c>
    </row>
    <row r="21" customFormat="false" ht="15" hidden="false" customHeight="false" outlineLevel="0" collapsed="false">
      <c r="A21" s="8" t="s">
        <v>27</v>
      </c>
      <c r="B21" s="9" t="s">
        <v>28</v>
      </c>
      <c r="C21" s="9" t="s">
        <v>23</v>
      </c>
    </row>
    <row r="22" customFormat="false" ht="15" hidden="false" customHeight="false" outlineLevel="0" collapsed="false">
      <c r="A22" s="8" t="s">
        <v>29</v>
      </c>
      <c r="B22" s="9" t="s">
        <v>30</v>
      </c>
      <c r="C22" s="9" t="s">
        <v>23</v>
      </c>
    </row>
    <row r="23" customFormat="false" ht="15" hidden="false" customHeight="false" outlineLevel="0" collapsed="false">
      <c r="A23" s="8" t="s">
        <v>31</v>
      </c>
      <c r="B23" s="9" t="s">
        <v>32</v>
      </c>
      <c r="C23" s="9" t="s">
        <v>33</v>
      </c>
    </row>
    <row r="24" customFormat="false" ht="15" hidden="false" customHeight="false" outlineLevel="0" collapsed="false">
      <c r="A24" s="8" t="s">
        <v>34</v>
      </c>
      <c r="B24" s="9" t="s">
        <v>35</v>
      </c>
      <c r="C24" s="9" t="s">
        <v>36</v>
      </c>
    </row>
    <row r="25" customFormat="false" ht="15" hidden="false" customHeight="false" outlineLevel="0" collapsed="false">
      <c r="A25" s="8" t="s">
        <v>37</v>
      </c>
      <c r="B25" s="9" t="s">
        <v>38</v>
      </c>
      <c r="C25" s="9" t="s">
        <v>39</v>
      </c>
    </row>
    <row r="26" customFormat="false" ht="15" hidden="false" customHeight="false" outlineLevel="0" collapsed="false">
      <c r="A26" s="8" t="s">
        <v>40</v>
      </c>
      <c r="B26" s="9" t="s">
        <v>41</v>
      </c>
      <c r="C26" s="9" t="s">
        <v>42</v>
      </c>
    </row>
    <row r="27" customFormat="false" ht="15" hidden="false" customHeight="false" outlineLevel="0" collapsed="false">
      <c r="A27" s="8" t="s">
        <v>43</v>
      </c>
      <c r="B27" s="9" t="s">
        <v>44</v>
      </c>
      <c r="C27" s="9" t="s">
        <v>45</v>
      </c>
    </row>
    <row r="28" customFormat="false" ht="15" hidden="false" customHeight="false" outlineLevel="0" collapsed="false">
      <c r="A28" s="8" t="s">
        <v>46</v>
      </c>
      <c r="B28" s="9" t="s">
        <v>47</v>
      </c>
      <c r="C28" s="9" t="s">
        <v>36</v>
      </c>
    </row>
    <row r="29" customFormat="false" ht="15" hidden="false" customHeight="false" outlineLevel="0" collapsed="false">
      <c r="A29" s="8" t="s">
        <v>48</v>
      </c>
      <c r="B29" s="9" t="s">
        <v>49</v>
      </c>
      <c r="C29" s="9" t="s">
        <v>50</v>
      </c>
    </row>
    <row r="30" customFormat="false" ht="15" hidden="false" customHeight="false" outlineLevel="0" collapsed="false">
      <c r="A30" s="8" t="s">
        <v>51</v>
      </c>
      <c r="B30" s="9" t="s">
        <v>52</v>
      </c>
      <c r="C30" s="9" t="s">
        <v>23</v>
      </c>
    </row>
    <row r="31" customFormat="false" ht="15" hidden="false" customHeight="false" outlineLevel="0" collapsed="false">
      <c r="A31" s="8" t="s">
        <v>53</v>
      </c>
      <c r="B31" s="9" t="s">
        <v>54</v>
      </c>
      <c r="C31" s="9" t="s">
        <v>55</v>
      </c>
    </row>
    <row r="32" customFormat="false" ht="15" hidden="false" customHeight="false" outlineLevel="0" collapsed="false">
      <c r="A32" s="8" t="s">
        <v>56</v>
      </c>
      <c r="B32" s="9" t="s">
        <v>57</v>
      </c>
      <c r="C32" s="9" t="s">
        <v>39</v>
      </c>
    </row>
    <row r="33" customFormat="false" ht="15" hidden="false" customHeight="false" outlineLevel="0" collapsed="false">
      <c r="A33" s="8" t="s">
        <v>58</v>
      </c>
      <c r="B33" s="9" t="s">
        <v>59</v>
      </c>
      <c r="C33" s="9" t="s">
        <v>60</v>
      </c>
    </row>
    <row r="34" customFormat="false" ht="15" hidden="false" customHeight="false" outlineLevel="0" collapsed="false">
      <c r="A34" s="8" t="s">
        <v>61</v>
      </c>
      <c r="B34" s="9" t="s">
        <v>62</v>
      </c>
      <c r="C34" s="9"/>
    </row>
    <row r="35" customFormat="false" ht="15" hidden="false" customHeight="false" outlineLevel="0" collapsed="false">
      <c r="A35" s="8" t="s">
        <v>63</v>
      </c>
      <c r="B35" s="9" t="s">
        <v>64</v>
      </c>
      <c r="C35" s="9" t="s">
        <v>65</v>
      </c>
    </row>
    <row r="36" customFormat="false" ht="15" hidden="false" customHeight="false" outlineLevel="0" collapsed="false">
      <c r="A36" s="8" t="s">
        <v>66</v>
      </c>
      <c r="B36" s="9" t="s">
        <v>67</v>
      </c>
      <c r="C36" s="9"/>
    </row>
    <row r="37" customFormat="false" ht="15" hidden="false" customHeight="false" outlineLevel="0" collapsed="false">
      <c r="A37" s="8" t="s">
        <v>68</v>
      </c>
      <c r="B37" s="9" t="s">
        <v>69</v>
      </c>
      <c r="C37" s="9"/>
    </row>
    <row r="38" customFormat="false" ht="15" hidden="false" customHeight="false" outlineLevel="0" collapsed="false">
      <c r="A38" s="8" t="s">
        <v>70</v>
      </c>
      <c r="B38" s="9" t="s">
        <v>71</v>
      </c>
      <c r="C38" s="9" t="s">
        <v>72</v>
      </c>
    </row>
    <row r="39" customFormat="false" ht="15" hidden="false" customHeight="false" outlineLevel="0" collapsed="false">
      <c r="A39" s="8" t="s">
        <v>73</v>
      </c>
      <c r="B39" s="9" t="s">
        <v>74</v>
      </c>
      <c r="C39" s="9" t="s">
        <v>75</v>
      </c>
    </row>
    <row r="40" customFormat="false" ht="15" hidden="false" customHeight="false" outlineLevel="0" collapsed="false">
      <c r="A40" s="8" t="s">
        <v>76</v>
      </c>
      <c r="B40" s="9" t="s">
        <v>77</v>
      </c>
      <c r="C40" s="9" t="s">
        <v>78</v>
      </c>
    </row>
    <row r="41" customFormat="false" ht="15" hidden="false" customHeight="false" outlineLevel="0" collapsed="false">
      <c r="A41" s="8" t="s">
        <v>79</v>
      </c>
      <c r="B41" s="9" t="s">
        <v>80</v>
      </c>
      <c r="C41" s="9" t="s">
        <v>81</v>
      </c>
    </row>
    <row r="42" customFormat="false" ht="15" hidden="false" customHeight="false" outlineLevel="0" collapsed="false">
      <c r="A42" s="8" t="s">
        <v>82</v>
      </c>
      <c r="B42" s="9" t="s">
        <v>83</v>
      </c>
      <c r="C42" s="9" t="s">
        <v>23</v>
      </c>
    </row>
    <row r="43" customFormat="false" ht="23.85" hidden="false" customHeight="false" outlineLevel="0" collapsed="false">
      <c r="A43" s="8" t="s">
        <v>84</v>
      </c>
      <c r="B43" s="9" t="s">
        <v>85</v>
      </c>
      <c r="C43" s="9" t="s">
        <v>86</v>
      </c>
    </row>
    <row r="44" customFormat="false" ht="23.85" hidden="false" customHeight="false" outlineLevel="0" collapsed="false">
      <c r="A44" s="8" t="s">
        <v>87</v>
      </c>
      <c r="B44" s="9" t="s">
        <v>88</v>
      </c>
      <c r="C44" s="9" t="s">
        <v>86</v>
      </c>
    </row>
    <row r="45" customFormat="false" ht="15" hidden="false" customHeight="false" outlineLevel="0" collapsed="false">
      <c r="A45" s="8" t="s">
        <v>89</v>
      </c>
      <c r="B45" s="9" t="s">
        <v>90</v>
      </c>
      <c r="C45" s="9" t="s">
        <v>91</v>
      </c>
    </row>
    <row r="46" customFormat="false" ht="15" hidden="false" customHeight="false" outlineLevel="0" collapsed="false">
      <c r="A46" s="8" t="s">
        <v>92</v>
      </c>
      <c r="B46" s="9" t="s">
        <v>93</v>
      </c>
      <c r="C46" s="9" t="s">
        <v>94</v>
      </c>
    </row>
    <row r="47" customFormat="false" ht="15" hidden="false" customHeight="false" outlineLevel="0" collapsed="false">
      <c r="A47" s="8" t="s">
        <v>95</v>
      </c>
      <c r="B47" s="9" t="s">
        <v>96</v>
      </c>
      <c r="C47" s="9" t="s">
        <v>97</v>
      </c>
    </row>
    <row r="48" customFormat="false" ht="15" hidden="false" customHeight="false" outlineLevel="0" collapsed="false">
      <c r="A48" s="8" t="s">
        <v>98</v>
      </c>
      <c r="B48" s="9" t="s">
        <v>99</v>
      </c>
      <c r="C48" s="9" t="s">
        <v>100</v>
      </c>
    </row>
    <row r="49" customFormat="false" ht="15" hidden="false" customHeight="false" outlineLevel="0" collapsed="false">
      <c r="A49" s="8" t="s">
        <v>101</v>
      </c>
      <c r="B49" s="9" t="s">
        <v>102</v>
      </c>
      <c r="C49" s="9" t="s">
        <v>103</v>
      </c>
    </row>
    <row r="50" customFormat="false" ht="15" hidden="false" customHeight="false" outlineLevel="0" collapsed="false">
      <c r="A50" s="8" t="s">
        <v>104</v>
      </c>
      <c r="B50" s="9" t="s">
        <v>105</v>
      </c>
      <c r="C50" s="9" t="s">
        <v>106</v>
      </c>
    </row>
    <row r="52" customFormat="false" ht="15" hidden="false" customHeight="false" outlineLevel="0" collapsed="false">
      <c r="A52" s="3" t="s">
        <v>107</v>
      </c>
    </row>
    <row r="53" customFormat="false" ht="23.85" hidden="false" customHeight="false" outlineLevel="0" collapsed="false">
      <c r="A53" s="10" t="s">
        <v>18</v>
      </c>
      <c r="B53" s="10" t="s">
        <v>21</v>
      </c>
      <c r="C53" s="10" t="s">
        <v>29</v>
      </c>
      <c r="D53" s="10" t="s">
        <v>31</v>
      </c>
      <c r="E53" s="10" t="s">
        <v>58</v>
      </c>
      <c r="F53" s="10" t="s">
        <v>61</v>
      </c>
      <c r="G53" s="10" t="s">
        <v>63</v>
      </c>
      <c r="H53" s="10" t="s">
        <v>70</v>
      </c>
      <c r="I53" s="10" t="s">
        <v>73</v>
      </c>
      <c r="J53" s="10" t="s">
        <v>76</v>
      </c>
      <c r="K53" s="10" t="s">
        <v>82</v>
      </c>
      <c r="L53" s="10" t="s">
        <v>89</v>
      </c>
    </row>
    <row r="54" customFormat="false" ht="15" hidden="false" customHeight="false" outlineLevel="0" collapsed="false">
      <c r="A54" s="11" t="s">
        <v>108</v>
      </c>
      <c r="B54" s="11" t="s">
        <v>29</v>
      </c>
      <c r="C54" s="11" t="s">
        <v>109</v>
      </c>
      <c r="D54" s="11" t="n">
        <v>0.001</v>
      </c>
      <c r="E54" s="11" t="n">
        <v>1.95</v>
      </c>
      <c r="F54" s="11" t="n">
        <v>0.6</v>
      </c>
      <c r="G54" s="11" t="n">
        <v>18</v>
      </c>
      <c r="H54" s="11" t="n">
        <v>0.75</v>
      </c>
      <c r="I54" s="11" t="n">
        <v>0.65</v>
      </c>
      <c r="J54" s="11" t="n">
        <v>2.1</v>
      </c>
      <c r="K54" s="11" t="s">
        <v>110</v>
      </c>
      <c r="L54" s="11" t="s">
        <v>111</v>
      </c>
    </row>
    <row r="56" customFormat="false" ht="15" hidden="false" customHeight="false" outlineLevel="0" collapsed="false">
      <c r="A56" s="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15"/>
    <col collapsed="false" customWidth="true" hidden="false" outlineLevel="0" max="7" min="6" style="0" width="9"/>
    <col collapsed="false" customWidth="true" hidden="false" outlineLevel="0" max="9" min="8" style="0" width="7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6"/>
    <col collapsed="false" customWidth="true" hidden="false" outlineLevel="0" max="17" min="16" style="0" width="10"/>
    <col collapsed="false" customWidth="true" hidden="false" outlineLevel="0" max="18" min="18" style="0" width="8"/>
    <col collapsed="false" customWidth="true" hidden="false" outlineLevel="0" max="20" min="19" style="0" width="10"/>
    <col collapsed="false" customWidth="true" hidden="false" outlineLevel="0" max="22" min="21" style="0" width="9"/>
    <col collapsed="false" customWidth="true" hidden="false" outlineLevel="0" max="23" min="23" style="0" width="10"/>
    <col collapsed="false" customWidth="true" hidden="false" outlineLevel="0" max="27" min="24" style="0" width="9"/>
    <col collapsed="false" customWidth="true" hidden="false" outlineLevel="0" max="28" min="28" style="0" width="22"/>
    <col collapsed="false" customWidth="true" hidden="false" outlineLevel="0" max="29" min="29" style="0" width="36"/>
    <col collapsed="false" customWidth="true" hidden="false" outlineLevel="0" max="32" min="30" style="0" width="10"/>
    <col collapsed="false" customWidth="true" hidden="false" outlineLevel="0" max="33" min="33" style="0" width="9"/>
  </cols>
  <sheetData>
    <row r="1" customFormat="false" ht="42" hidden="false" customHeight="true" outlineLevel="0" collapsed="false">
      <c r="A1" s="7" t="s">
        <v>18</v>
      </c>
      <c r="B1" s="7" t="s">
        <v>21</v>
      </c>
      <c r="C1" s="7" t="s">
        <v>24</v>
      </c>
      <c r="D1" s="7" t="s">
        <v>27</v>
      </c>
      <c r="E1" s="7" t="s">
        <v>29</v>
      </c>
      <c r="F1" s="7" t="s">
        <v>31</v>
      </c>
      <c r="G1" s="7" t="s">
        <v>34</v>
      </c>
      <c r="H1" s="7" t="s">
        <v>37</v>
      </c>
      <c r="I1" s="7" t="s">
        <v>40</v>
      </c>
      <c r="J1" s="7" t="s">
        <v>43</v>
      </c>
      <c r="K1" s="7" t="s">
        <v>46</v>
      </c>
      <c r="L1" s="7" t="s">
        <v>48</v>
      </c>
      <c r="M1" s="7" t="s">
        <v>51</v>
      </c>
      <c r="N1" s="7" t="s">
        <v>53</v>
      </c>
      <c r="O1" s="7" t="s">
        <v>56</v>
      </c>
      <c r="P1" s="7" t="s">
        <v>58</v>
      </c>
      <c r="Q1" s="7" t="s">
        <v>61</v>
      </c>
      <c r="R1" s="7" t="s">
        <v>63</v>
      </c>
      <c r="S1" s="7" t="s">
        <v>66</v>
      </c>
      <c r="T1" s="7" t="s">
        <v>68</v>
      </c>
      <c r="U1" s="7" t="s">
        <v>70</v>
      </c>
      <c r="V1" s="7" t="s">
        <v>73</v>
      </c>
      <c r="W1" s="7" t="s">
        <v>76</v>
      </c>
      <c r="X1" s="7" t="s">
        <v>79</v>
      </c>
      <c r="Y1" s="7" t="s">
        <v>82</v>
      </c>
      <c r="Z1" s="7" t="s">
        <v>84</v>
      </c>
      <c r="AA1" s="7" t="s">
        <v>87</v>
      </c>
      <c r="AB1" s="7" t="s">
        <v>89</v>
      </c>
      <c r="AC1" s="7" t="s">
        <v>92</v>
      </c>
      <c r="AD1" s="7" t="s">
        <v>95</v>
      </c>
      <c r="AE1" s="7" t="s">
        <v>98</v>
      </c>
      <c r="AF1" s="7" t="s">
        <v>101</v>
      </c>
      <c r="AG1" s="7" t="s">
        <v>104</v>
      </c>
    </row>
    <row r="2" customFormat="false" ht="15" hidden="false" customHeight="false" outlineLevel="0" collapsed="false">
      <c r="A2" s="12" t="s">
        <v>113</v>
      </c>
      <c r="B2" s="12" t="s">
        <v>114</v>
      </c>
      <c r="C2" s="12" t="s">
        <v>115</v>
      </c>
      <c r="D2" s="12" t="s">
        <v>116</v>
      </c>
      <c r="E2" s="12" t="s">
        <v>117</v>
      </c>
      <c r="F2" s="13"/>
      <c r="G2" s="12" t="n">
        <v>0</v>
      </c>
      <c r="H2" s="12" t="n">
        <v>512</v>
      </c>
      <c r="I2" s="12" t="n">
        <v>20</v>
      </c>
      <c r="J2" s="12" t="s">
        <v>118</v>
      </c>
      <c r="K2" s="12" t="n">
        <v>0</v>
      </c>
      <c r="L2" s="12" t="s">
        <v>119</v>
      </c>
      <c r="M2" s="12" t="s">
        <v>120</v>
      </c>
      <c r="N2" s="12" t="s">
        <v>121</v>
      </c>
      <c r="O2" s="12" t="n">
        <v>1</v>
      </c>
      <c r="P2" s="14"/>
      <c r="Q2" s="14"/>
      <c r="R2" s="13"/>
      <c r="S2" s="14"/>
      <c r="T2" s="14"/>
      <c r="U2" s="14"/>
      <c r="V2" s="14"/>
      <c r="W2" s="13"/>
      <c r="X2" s="13"/>
      <c r="Y2" s="13"/>
      <c r="Z2" s="14"/>
      <c r="AA2" s="14"/>
      <c r="AB2" s="13"/>
      <c r="AC2" s="13"/>
      <c r="AD2" s="15" t="str">
        <f aca="false">IF(P2="","",P2-LN(7))</f>
        <v/>
      </c>
      <c r="AE2" s="15" t="str">
        <f aca="false">IF(OR(T2="",S2=""),"",T2-S2)</f>
        <v/>
      </c>
      <c r="AF2" s="15" t="str">
        <f aca="false">IF(OR(V2="",Seeds!$C$8=""),"",V2-Seeds!$C$8)</f>
        <v/>
      </c>
      <c r="AG2" s="15" t="str">
        <f aca="false">IF(OR(AF2="",Seeds!$C$10=""),"",IF(ABS(AF2)&gt;Seeds!$C$10,"Có","Không"))</f>
        <v/>
      </c>
    </row>
    <row r="3" customFormat="false" ht="15" hidden="false" customHeight="false" outlineLevel="0" collapsed="false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4"/>
      <c r="Q3" s="14"/>
      <c r="R3" s="13"/>
      <c r="S3" s="14"/>
      <c r="T3" s="14"/>
      <c r="U3" s="14"/>
      <c r="V3" s="14"/>
      <c r="W3" s="13"/>
      <c r="X3" s="13"/>
      <c r="Y3" s="13"/>
      <c r="Z3" s="14"/>
      <c r="AA3" s="14"/>
      <c r="AB3" s="13"/>
      <c r="AC3" s="13"/>
      <c r="AD3" s="15" t="str">
        <f aca="false">IF(P3="","",P3-LN(7))</f>
        <v/>
      </c>
      <c r="AE3" s="15" t="str">
        <f aca="false">IF(OR(T3="",S3=""),"",T3-S3)</f>
        <v/>
      </c>
      <c r="AF3" s="15" t="str">
        <f aca="false">IF(OR(V3="",Seeds!$C$8=""),"",V3-Seeds!$C$8)</f>
        <v/>
      </c>
      <c r="AG3" s="15" t="str">
        <f aca="false">IF(OR(AF3="",Seeds!$C$10=""),"",IF(ABS(AF3)&gt;Seeds!$C$10,"Có","Không"))</f>
        <v/>
      </c>
    </row>
    <row r="4" customFormat="false" ht="15" hidden="false" customHeight="false" outlineLevel="0" collapsed="false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3"/>
      <c r="S4" s="14"/>
      <c r="T4" s="14"/>
      <c r="U4" s="14"/>
      <c r="V4" s="14"/>
      <c r="W4" s="13"/>
      <c r="X4" s="13"/>
      <c r="Y4" s="13"/>
      <c r="Z4" s="14"/>
      <c r="AA4" s="14"/>
      <c r="AB4" s="13"/>
      <c r="AC4" s="13"/>
      <c r="AD4" s="15" t="str">
        <f aca="false">IF(P4="","",P4-LN(7))</f>
        <v/>
      </c>
      <c r="AE4" s="15" t="str">
        <f aca="false">IF(OR(T4="",S4=""),"",T4-S4)</f>
        <v/>
      </c>
      <c r="AF4" s="15" t="str">
        <f aca="false">IF(OR(V4="",Seeds!$C$8=""),"",V4-Seeds!$C$8)</f>
        <v/>
      </c>
      <c r="AG4" s="15" t="str">
        <f aca="false">IF(OR(AF4="",Seeds!$C$10=""),"",IF(ABS(AF4)&gt;Seeds!$C$10,"Có","Không"))</f>
        <v/>
      </c>
    </row>
    <row r="5" customFormat="false" ht="15" hidden="false" customHeight="fals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4"/>
      <c r="Q5" s="14"/>
      <c r="R5" s="13"/>
      <c r="S5" s="14"/>
      <c r="T5" s="14"/>
      <c r="U5" s="14"/>
      <c r="V5" s="14"/>
      <c r="W5" s="13"/>
      <c r="X5" s="13"/>
      <c r="Y5" s="13"/>
      <c r="Z5" s="14"/>
      <c r="AA5" s="14"/>
      <c r="AB5" s="13"/>
      <c r="AC5" s="13"/>
      <c r="AD5" s="15" t="str">
        <f aca="false">IF(P5="","",P5-LN(7))</f>
        <v/>
      </c>
      <c r="AE5" s="15" t="str">
        <f aca="false">IF(OR(T5="",S5=""),"",T5-S5)</f>
        <v/>
      </c>
      <c r="AF5" s="15" t="str">
        <f aca="false">IF(OR(V5="",Seeds!$C$8=""),"",V5-Seeds!$C$8)</f>
        <v/>
      </c>
      <c r="AG5" s="15" t="str">
        <f aca="false">IF(OR(AF5="",Seeds!$C$10=""),"",IF(ABS(AF5)&gt;Seeds!$C$10,"Có","Không"))</f>
        <v/>
      </c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4"/>
      <c r="Q6" s="14"/>
      <c r="R6" s="13"/>
      <c r="S6" s="14"/>
      <c r="T6" s="14"/>
      <c r="U6" s="14"/>
      <c r="V6" s="14"/>
      <c r="W6" s="13"/>
      <c r="X6" s="13"/>
      <c r="Y6" s="13"/>
      <c r="Z6" s="14"/>
      <c r="AA6" s="14"/>
      <c r="AB6" s="13"/>
      <c r="AC6" s="13"/>
      <c r="AD6" s="15" t="str">
        <f aca="false">IF(P6="","",P6-LN(7))</f>
        <v/>
      </c>
      <c r="AE6" s="15" t="str">
        <f aca="false">IF(OR(T6="",S6=""),"",T6-S6)</f>
        <v/>
      </c>
      <c r="AF6" s="15" t="str">
        <f aca="false">IF(OR(V6="",Seeds!$C$8=""),"",V6-Seeds!$C$8)</f>
        <v/>
      </c>
      <c r="AG6" s="15" t="str">
        <f aca="false">IF(OR(AF6="",Seeds!$C$10=""),"",IF(ABS(AF6)&gt;Seeds!$C$10,"Có","Không"))</f>
        <v/>
      </c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4"/>
      <c r="Q7" s="14"/>
      <c r="R7" s="13"/>
      <c r="S7" s="14"/>
      <c r="T7" s="14"/>
      <c r="U7" s="14"/>
      <c r="V7" s="14"/>
      <c r="W7" s="13"/>
      <c r="X7" s="13"/>
      <c r="Y7" s="13"/>
      <c r="Z7" s="14"/>
      <c r="AA7" s="14"/>
      <c r="AB7" s="13"/>
      <c r="AC7" s="13"/>
      <c r="AD7" s="15" t="str">
        <f aca="false">IF(P7="","",P7-LN(7))</f>
        <v/>
      </c>
      <c r="AE7" s="15" t="str">
        <f aca="false">IF(OR(T7="",S7=""),"",T7-S7)</f>
        <v/>
      </c>
      <c r="AF7" s="15" t="str">
        <f aca="false">IF(OR(V7="",Seeds!$C$8=""),"",V7-Seeds!$C$8)</f>
        <v/>
      </c>
      <c r="AG7" s="15" t="str">
        <f aca="false">IF(OR(AF7="",Seeds!$C$10=""),"",IF(ABS(AF7)&gt;Seeds!$C$10,"Có","Không"))</f>
        <v/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/>
      <c r="Q8" s="14"/>
      <c r="R8" s="13"/>
      <c r="S8" s="14"/>
      <c r="T8" s="14"/>
      <c r="U8" s="14"/>
      <c r="V8" s="14"/>
      <c r="W8" s="13"/>
      <c r="X8" s="13"/>
      <c r="Y8" s="13"/>
      <c r="Z8" s="14"/>
      <c r="AA8" s="14"/>
      <c r="AB8" s="13"/>
      <c r="AC8" s="13"/>
      <c r="AD8" s="15" t="str">
        <f aca="false">IF(P8="","",P8-LN(7))</f>
        <v/>
      </c>
      <c r="AE8" s="15" t="str">
        <f aca="false">IF(OR(T8="",S8=""),"",T8-S8)</f>
        <v/>
      </c>
      <c r="AF8" s="15" t="str">
        <f aca="false">IF(OR(V8="",Seeds!$C$8=""),"",V8-Seeds!$C$8)</f>
        <v/>
      </c>
      <c r="AG8" s="15" t="str">
        <f aca="false">IF(OR(AF8="",Seeds!$C$10=""),"",IF(ABS(AF8)&gt;Seeds!$C$10,"Có","Không"))</f>
        <v/>
      </c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4"/>
      <c r="Q9" s="14"/>
      <c r="R9" s="13"/>
      <c r="S9" s="14"/>
      <c r="T9" s="14"/>
      <c r="U9" s="14"/>
      <c r="V9" s="14"/>
      <c r="W9" s="13"/>
      <c r="X9" s="13"/>
      <c r="Y9" s="13"/>
      <c r="Z9" s="14"/>
      <c r="AA9" s="14"/>
      <c r="AB9" s="13"/>
      <c r="AC9" s="13"/>
      <c r="AD9" s="15" t="str">
        <f aca="false">IF(P9="","",P9-LN(7))</f>
        <v/>
      </c>
      <c r="AE9" s="15" t="str">
        <f aca="false">IF(OR(T9="",S9=""),"",T9-S9)</f>
        <v/>
      </c>
      <c r="AF9" s="15" t="str">
        <f aca="false">IF(OR(V9="",Seeds!$C$8=""),"",V9-Seeds!$C$8)</f>
        <v/>
      </c>
      <c r="AG9" s="15" t="str">
        <f aca="false">IF(OR(AF9="",Seeds!$C$10=""),"",IF(ABS(AF9)&gt;Seeds!$C$10,"Có","Không"))</f>
        <v/>
      </c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4"/>
      <c r="Q10" s="14"/>
      <c r="R10" s="13"/>
      <c r="S10" s="14"/>
      <c r="T10" s="14"/>
      <c r="U10" s="14"/>
      <c r="V10" s="14"/>
      <c r="W10" s="13"/>
      <c r="X10" s="13"/>
      <c r="Y10" s="13"/>
      <c r="Z10" s="14"/>
      <c r="AA10" s="14"/>
      <c r="AB10" s="13"/>
      <c r="AC10" s="13"/>
      <c r="AD10" s="15" t="str">
        <f aca="false">IF(P10="","",P10-LN(7))</f>
        <v/>
      </c>
      <c r="AE10" s="15" t="str">
        <f aca="false">IF(OR(T10="",S10=""),"",T10-S10)</f>
        <v/>
      </c>
      <c r="AF10" s="15" t="str">
        <f aca="false">IF(OR(V10="",Seeds!$C$8=""),"",V10-Seeds!$C$8)</f>
        <v/>
      </c>
      <c r="AG10" s="15" t="str">
        <f aca="false">IF(OR(AF10="",Seeds!$C$10=""),"",IF(ABS(AF10)&gt;Seeds!$C$10,"Có","Không"))</f>
        <v/>
      </c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4"/>
      <c r="Q11" s="14"/>
      <c r="R11" s="13"/>
      <c r="S11" s="14"/>
      <c r="T11" s="14"/>
      <c r="U11" s="14"/>
      <c r="V11" s="14"/>
      <c r="W11" s="13"/>
      <c r="X11" s="13"/>
      <c r="Y11" s="13"/>
      <c r="Z11" s="14"/>
      <c r="AA11" s="14"/>
      <c r="AB11" s="13"/>
      <c r="AC11" s="13"/>
      <c r="AD11" s="15" t="str">
        <f aca="false">IF(P11="","",P11-LN(7))</f>
        <v/>
      </c>
      <c r="AE11" s="15" t="str">
        <f aca="false">IF(OR(T11="",S11=""),"",T11-S11)</f>
        <v/>
      </c>
      <c r="AF11" s="15" t="str">
        <f aca="false">IF(OR(V11="",Seeds!$C$8=""),"",V11-Seeds!$C$8)</f>
        <v/>
      </c>
      <c r="AG11" s="15" t="str">
        <f aca="false">IF(OR(AF11="",Seeds!$C$10=""),"",IF(ABS(AF11)&gt;Seeds!$C$10,"Có","Không"))</f>
        <v/>
      </c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4"/>
      <c r="Q12" s="14"/>
      <c r="R12" s="13"/>
      <c r="S12" s="14"/>
      <c r="T12" s="14"/>
      <c r="U12" s="14"/>
      <c r="V12" s="14"/>
      <c r="W12" s="13"/>
      <c r="X12" s="13"/>
      <c r="Y12" s="13"/>
      <c r="Z12" s="14"/>
      <c r="AA12" s="14"/>
      <c r="AB12" s="13"/>
      <c r="AC12" s="13"/>
      <c r="AD12" s="15" t="str">
        <f aca="false">IF(P12="","",P12-LN(7))</f>
        <v/>
      </c>
      <c r="AE12" s="15" t="str">
        <f aca="false">IF(OR(T12="",S12=""),"",T12-S12)</f>
        <v/>
      </c>
      <c r="AF12" s="15" t="str">
        <f aca="false">IF(OR(V12="",Seeds!$C$8=""),"",V12-Seeds!$C$8)</f>
        <v/>
      </c>
      <c r="AG12" s="15" t="str">
        <f aca="false">IF(OR(AF12="",Seeds!$C$10=""),"",IF(ABS(AF12)&gt;Seeds!$C$10,"Có","Không"))</f>
        <v/>
      </c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4"/>
      <c r="Q13" s="14"/>
      <c r="R13" s="13"/>
      <c r="S13" s="14"/>
      <c r="T13" s="14"/>
      <c r="U13" s="14"/>
      <c r="V13" s="14"/>
      <c r="W13" s="13"/>
      <c r="X13" s="13"/>
      <c r="Y13" s="13"/>
      <c r="Z13" s="14"/>
      <c r="AA13" s="14"/>
      <c r="AB13" s="13"/>
      <c r="AC13" s="13"/>
      <c r="AD13" s="15" t="str">
        <f aca="false">IF(P13="","",P13-LN(7))</f>
        <v/>
      </c>
      <c r="AE13" s="15" t="str">
        <f aca="false">IF(OR(T13="",S13=""),"",T13-S13)</f>
        <v/>
      </c>
      <c r="AF13" s="15" t="str">
        <f aca="false">IF(OR(V13="",Seeds!$C$8=""),"",V13-Seeds!$C$8)</f>
        <v/>
      </c>
      <c r="AG13" s="15" t="str">
        <f aca="false">IF(OR(AF13="",Seeds!$C$10=""),"",IF(ABS(AF13)&gt;Seeds!$C$10,"Có","Không"))</f>
        <v/>
      </c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4"/>
      <c r="Q14" s="14"/>
      <c r="R14" s="13"/>
      <c r="S14" s="14"/>
      <c r="T14" s="14"/>
      <c r="U14" s="14"/>
      <c r="V14" s="14"/>
      <c r="W14" s="13"/>
      <c r="X14" s="13"/>
      <c r="Y14" s="13"/>
      <c r="Z14" s="14"/>
      <c r="AA14" s="14"/>
      <c r="AB14" s="13"/>
      <c r="AC14" s="13"/>
      <c r="AD14" s="15" t="str">
        <f aca="false">IF(P14="","",P14-LN(7))</f>
        <v/>
      </c>
      <c r="AE14" s="15" t="str">
        <f aca="false">IF(OR(T14="",S14=""),"",T14-S14)</f>
        <v/>
      </c>
      <c r="AF14" s="15" t="str">
        <f aca="false">IF(OR(V14="",Seeds!$C$8=""),"",V14-Seeds!$C$8)</f>
        <v/>
      </c>
      <c r="AG14" s="15" t="str">
        <f aca="false">IF(OR(AF14="",Seeds!$C$10=""),"",IF(ABS(AF14)&gt;Seeds!$C$10,"Có","Không"))</f>
        <v/>
      </c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4"/>
      <c r="Q15" s="14"/>
      <c r="R15" s="13"/>
      <c r="S15" s="14"/>
      <c r="T15" s="14"/>
      <c r="U15" s="14"/>
      <c r="V15" s="14"/>
      <c r="W15" s="13"/>
      <c r="X15" s="13"/>
      <c r="Y15" s="13"/>
      <c r="Z15" s="14"/>
      <c r="AA15" s="14"/>
      <c r="AB15" s="13"/>
      <c r="AC15" s="13"/>
      <c r="AD15" s="15" t="str">
        <f aca="false">IF(P15="","",P15-LN(7))</f>
        <v/>
      </c>
      <c r="AE15" s="15" t="str">
        <f aca="false">IF(OR(T15="",S15=""),"",T15-S15)</f>
        <v/>
      </c>
      <c r="AF15" s="15" t="str">
        <f aca="false">IF(OR(V15="",Seeds!$C$8=""),"",V15-Seeds!$C$8)</f>
        <v/>
      </c>
      <c r="AG15" s="15" t="str">
        <f aca="false">IF(OR(AF15="",Seeds!$C$10=""),"",IF(ABS(AF15)&gt;Seeds!$C$10,"Có","Không"))</f>
        <v/>
      </c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4"/>
      <c r="Q16" s="14"/>
      <c r="R16" s="13"/>
      <c r="S16" s="14"/>
      <c r="T16" s="14"/>
      <c r="U16" s="14"/>
      <c r="V16" s="14"/>
      <c r="W16" s="13"/>
      <c r="X16" s="13"/>
      <c r="Y16" s="13"/>
      <c r="Z16" s="14"/>
      <c r="AA16" s="14"/>
      <c r="AB16" s="13"/>
      <c r="AC16" s="13"/>
      <c r="AD16" s="15" t="str">
        <f aca="false">IF(P16="","",P16-LN(7))</f>
        <v/>
      </c>
      <c r="AE16" s="15" t="str">
        <f aca="false">IF(OR(T16="",S16=""),"",T16-S16)</f>
        <v/>
      </c>
      <c r="AF16" s="15" t="str">
        <f aca="false">IF(OR(V16="",Seeds!$C$8=""),"",V16-Seeds!$C$8)</f>
        <v/>
      </c>
      <c r="AG16" s="15" t="str">
        <f aca="false">IF(OR(AF16="",Seeds!$C$10=""),"",IF(ABS(AF16)&gt;Seeds!$C$10,"Có","Không"))</f>
        <v/>
      </c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4"/>
      <c r="Q17" s="14"/>
      <c r="R17" s="13"/>
      <c r="S17" s="14"/>
      <c r="T17" s="14"/>
      <c r="U17" s="14"/>
      <c r="V17" s="14"/>
      <c r="W17" s="13"/>
      <c r="X17" s="13"/>
      <c r="Y17" s="13"/>
      <c r="Z17" s="14"/>
      <c r="AA17" s="14"/>
      <c r="AB17" s="13"/>
      <c r="AC17" s="13"/>
      <c r="AD17" s="15" t="str">
        <f aca="false">IF(P17="","",P17-LN(7))</f>
        <v/>
      </c>
      <c r="AE17" s="15" t="str">
        <f aca="false">IF(OR(T17="",S17=""),"",T17-S17)</f>
        <v/>
      </c>
      <c r="AF17" s="15" t="str">
        <f aca="false">IF(OR(V17="",Seeds!$C$8=""),"",V17-Seeds!$C$8)</f>
        <v/>
      </c>
      <c r="AG17" s="15" t="str">
        <f aca="false">IF(OR(AF17="",Seeds!$C$10=""),"",IF(ABS(AF17)&gt;Seeds!$C$10,"Có","Không"))</f>
        <v/>
      </c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4"/>
      <c r="Q18" s="14"/>
      <c r="R18" s="13"/>
      <c r="S18" s="14"/>
      <c r="T18" s="14"/>
      <c r="U18" s="14"/>
      <c r="V18" s="14"/>
      <c r="W18" s="13"/>
      <c r="X18" s="13"/>
      <c r="Y18" s="13"/>
      <c r="Z18" s="14"/>
      <c r="AA18" s="14"/>
      <c r="AB18" s="13"/>
      <c r="AC18" s="13"/>
      <c r="AD18" s="15" t="str">
        <f aca="false">IF(P18="","",P18-LN(7))</f>
        <v/>
      </c>
      <c r="AE18" s="15" t="str">
        <f aca="false">IF(OR(T18="",S18=""),"",T18-S18)</f>
        <v/>
      </c>
      <c r="AF18" s="15" t="str">
        <f aca="false">IF(OR(V18="",Seeds!$C$8=""),"",V18-Seeds!$C$8)</f>
        <v/>
      </c>
      <c r="AG18" s="15" t="str">
        <f aca="false">IF(OR(AF18="",Seeds!$C$10=""),"",IF(ABS(AF18)&gt;Seeds!$C$10,"Có","Không"))</f>
        <v/>
      </c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4"/>
      <c r="Q19" s="14"/>
      <c r="R19" s="13"/>
      <c r="S19" s="14"/>
      <c r="T19" s="14"/>
      <c r="U19" s="14"/>
      <c r="V19" s="14"/>
      <c r="W19" s="13"/>
      <c r="X19" s="13"/>
      <c r="Y19" s="13"/>
      <c r="Z19" s="14"/>
      <c r="AA19" s="14"/>
      <c r="AB19" s="13"/>
      <c r="AC19" s="13"/>
      <c r="AD19" s="15" t="str">
        <f aca="false">IF(P19="","",P19-LN(7))</f>
        <v/>
      </c>
      <c r="AE19" s="15" t="str">
        <f aca="false">IF(OR(T19="",S19=""),"",T19-S19)</f>
        <v/>
      </c>
      <c r="AF19" s="15" t="str">
        <f aca="false">IF(OR(V19="",Seeds!$C$8=""),"",V19-Seeds!$C$8)</f>
        <v/>
      </c>
      <c r="AG19" s="15" t="str">
        <f aca="false">IF(OR(AF19="",Seeds!$C$10=""),"",IF(ABS(AF19)&gt;Seeds!$C$10,"Có","Không"))</f>
        <v/>
      </c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4"/>
      <c r="Q20" s="14"/>
      <c r="R20" s="13"/>
      <c r="S20" s="14"/>
      <c r="T20" s="14"/>
      <c r="U20" s="14"/>
      <c r="V20" s="14"/>
      <c r="W20" s="13"/>
      <c r="X20" s="13"/>
      <c r="Y20" s="13"/>
      <c r="Z20" s="14"/>
      <c r="AA20" s="14"/>
      <c r="AB20" s="13"/>
      <c r="AC20" s="13"/>
      <c r="AD20" s="15" t="str">
        <f aca="false">IF(P20="","",P20-LN(7))</f>
        <v/>
      </c>
      <c r="AE20" s="15" t="str">
        <f aca="false">IF(OR(T20="",S20=""),"",T20-S20)</f>
        <v/>
      </c>
      <c r="AF20" s="15" t="str">
        <f aca="false">IF(OR(V20="",Seeds!$C$8=""),"",V20-Seeds!$C$8)</f>
        <v/>
      </c>
      <c r="AG20" s="15" t="str">
        <f aca="false">IF(OR(AF20="",Seeds!$C$10=""),"",IF(ABS(AF20)&gt;Seeds!$C$10,"Có","Không"))</f>
        <v/>
      </c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4"/>
      <c r="R21" s="13"/>
      <c r="S21" s="14"/>
      <c r="T21" s="14"/>
      <c r="U21" s="14"/>
      <c r="V21" s="14"/>
      <c r="W21" s="13"/>
      <c r="X21" s="13"/>
      <c r="Y21" s="13"/>
      <c r="Z21" s="14"/>
      <c r="AA21" s="14"/>
      <c r="AB21" s="13"/>
      <c r="AC21" s="13"/>
      <c r="AD21" s="15" t="str">
        <f aca="false">IF(P21="","",P21-LN(7))</f>
        <v/>
      </c>
      <c r="AE21" s="15" t="str">
        <f aca="false">IF(OR(T21="",S21=""),"",T21-S21)</f>
        <v/>
      </c>
      <c r="AF21" s="15" t="str">
        <f aca="false">IF(OR(V21="",Seeds!$C$8=""),"",V21-Seeds!$C$8)</f>
        <v/>
      </c>
      <c r="AG21" s="15" t="str">
        <f aca="false">IF(OR(AF21="",Seeds!$C$10=""),"",IF(ABS(AF21)&gt;Seeds!$C$10,"Có","Không"))</f>
        <v/>
      </c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14"/>
      <c r="R22" s="13"/>
      <c r="S22" s="14"/>
      <c r="T22" s="14"/>
      <c r="U22" s="14"/>
      <c r="V22" s="14"/>
      <c r="W22" s="13"/>
      <c r="X22" s="13"/>
      <c r="Y22" s="13"/>
      <c r="Z22" s="14"/>
      <c r="AA22" s="14"/>
      <c r="AB22" s="13"/>
      <c r="AC22" s="13"/>
      <c r="AD22" s="15" t="str">
        <f aca="false">IF(P22="","",P22-LN(7))</f>
        <v/>
      </c>
      <c r="AE22" s="15" t="str">
        <f aca="false">IF(OR(T22="",S22=""),"",T22-S22)</f>
        <v/>
      </c>
      <c r="AF22" s="15" t="str">
        <f aca="false">IF(OR(V22="",Seeds!$C$8=""),"",V22-Seeds!$C$8)</f>
        <v/>
      </c>
      <c r="AG22" s="15" t="str">
        <f aca="false">IF(OR(AF22="",Seeds!$C$10=""),"",IF(ABS(AF22)&gt;Seeds!$C$10,"Có","Không"))</f>
        <v/>
      </c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14"/>
      <c r="R23" s="13"/>
      <c r="S23" s="14"/>
      <c r="T23" s="14"/>
      <c r="U23" s="14"/>
      <c r="V23" s="14"/>
      <c r="W23" s="13"/>
      <c r="X23" s="13"/>
      <c r="Y23" s="13"/>
      <c r="Z23" s="14"/>
      <c r="AA23" s="14"/>
      <c r="AB23" s="13"/>
      <c r="AC23" s="13"/>
      <c r="AD23" s="15" t="str">
        <f aca="false">IF(P23="","",P23-LN(7))</f>
        <v/>
      </c>
      <c r="AE23" s="15" t="str">
        <f aca="false">IF(OR(T23="",S23=""),"",T23-S23)</f>
        <v/>
      </c>
      <c r="AF23" s="15" t="str">
        <f aca="false">IF(OR(V23="",Seeds!$C$8=""),"",V23-Seeds!$C$8)</f>
        <v/>
      </c>
      <c r="AG23" s="15" t="str">
        <f aca="false">IF(OR(AF23="",Seeds!$C$10=""),"",IF(ABS(AF23)&gt;Seeds!$C$10,"Có","Không"))</f>
        <v/>
      </c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14"/>
      <c r="R24" s="13"/>
      <c r="S24" s="14"/>
      <c r="T24" s="14"/>
      <c r="U24" s="14"/>
      <c r="V24" s="14"/>
      <c r="W24" s="13"/>
      <c r="X24" s="13"/>
      <c r="Y24" s="13"/>
      <c r="Z24" s="14"/>
      <c r="AA24" s="14"/>
      <c r="AB24" s="13"/>
      <c r="AC24" s="13"/>
      <c r="AD24" s="15" t="str">
        <f aca="false">IF(P24="","",P24-LN(7))</f>
        <v/>
      </c>
      <c r="AE24" s="15" t="str">
        <f aca="false">IF(OR(T24="",S24=""),"",T24-S24)</f>
        <v/>
      </c>
      <c r="AF24" s="15" t="str">
        <f aca="false">IF(OR(V24="",Seeds!$C$8=""),"",V24-Seeds!$C$8)</f>
        <v/>
      </c>
      <c r="AG24" s="15" t="str">
        <f aca="false">IF(OR(AF24="",Seeds!$C$10=""),"",IF(ABS(AF24)&gt;Seeds!$C$10,"Có","Không"))</f>
        <v/>
      </c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14"/>
      <c r="R25" s="13"/>
      <c r="S25" s="14"/>
      <c r="T25" s="14"/>
      <c r="U25" s="14"/>
      <c r="V25" s="14"/>
      <c r="W25" s="13"/>
      <c r="X25" s="13"/>
      <c r="Y25" s="13"/>
      <c r="Z25" s="14"/>
      <c r="AA25" s="14"/>
      <c r="AB25" s="13"/>
      <c r="AC25" s="13"/>
      <c r="AD25" s="15" t="str">
        <f aca="false">IF(P25="","",P25-LN(7))</f>
        <v/>
      </c>
      <c r="AE25" s="15" t="str">
        <f aca="false">IF(OR(T25="",S25=""),"",T25-S25)</f>
        <v/>
      </c>
      <c r="AF25" s="15" t="str">
        <f aca="false">IF(OR(V25="",Seeds!$C$8=""),"",V25-Seeds!$C$8)</f>
        <v/>
      </c>
      <c r="AG25" s="15" t="str">
        <f aca="false">IF(OR(AF25="",Seeds!$C$10=""),"",IF(ABS(AF25)&gt;Seeds!$C$10,"Có","Không"))</f>
        <v/>
      </c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4"/>
      <c r="R26" s="13"/>
      <c r="S26" s="14"/>
      <c r="T26" s="14"/>
      <c r="U26" s="14"/>
      <c r="V26" s="14"/>
      <c r="W26" s="13"/>
      <c r="X26" s="13"/>
      <c r="Y26" s="13"/>
      <c r="Z26" s="14"/>
      <c r="AA26" s="14"/>
      <c r="AB26" s="13"/>
      <c r="AC26" s="13"/>
      <c r="AD26" s="15" t="str">
        <f aca="false">IF(P26="","",P26-LN(7))</f>
        <v/>
      </c>
      <c r="AE26" s="15" t="str">
        <f aca="false">IF(OR(T26="",S26=""),"",T26-S26)</f>
        <v/>
      </c>
      <c r="AF26" s="15" t="str">
        <f aca="false">IF(OR(V26="",Seeds!$C$8=""),"",V26-Seeds!$C$8)</f>
        <v/>
      </c>
      <c r="AG26" s="15" t="str">
        <f aca="false">IF(OR(AF26="",Seeds!$C$10=""),"",IF(ABS(AF26)&gt;Seeds!$C$10,"Có","Không"))</f>
        <v/>
      </c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4"/>
      <c r="R27" s="13"/>
      <c r="S27" s="14"/>
      <c r="T27" s="14"/>
      <c r="U27" s="14"/>
      <c r="V27" s="14"/>
      <c r="W27" s="13"/>
      <c r="X27" s="13"/>
      <c r="Y27" s="13"/>
      <c r="Z27" s="14"/>
      <c r="AA27" s="14"/>
      <c r="AB27" s="13"/>
      <c r="AC27" s="13"/>
      <c r="AD27" s="15" t="str">
        <f aca="false">IF(P27="","",P27-LN(7))</f>
        <v/>
      </c>
      <c r="AE27" s="15" t="str">
        <f aca="false">IF(OR(T27="",S27=""),"",T27-S27)</f>
        <v/>
      </c>
      <c r="AF27" s="15" t="str">
        <f aca="false">IF(OR(V27="",Seeds!$C$8=""),"",V27-Seeds!$C$8)</f>
        <v/>
      </c>
      <c r="AG27" s="15" t="str">
        <f aca="false">IF(OR(AF27="",Seeds!$C$10=""),"",IF(ABS(AF27)&gt;Seeds!$C$10,"Có","Không"))</f>
        <v/>
      </c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  <c r="R28" s="13"/>
      <c r="S28" s="14"/>
      <c r="T28" s="14"/>
      <c r="U28" s="14"/>
      <c r="V28" s="14"/>
      <c r="W28" s="13"/>
      <c r="X28" s="13"/>
      <c r="Y28" s="13"/>
      <c r="Z28" s="14"/>
      <c r="AA28" s="14"/>
      <c r="AB28" s="13"/>
      <c r="AC28" s="13"/>
      <c r="AD28" s="15" t="str">
        <f aca="false">IF(P28="","",P28-LN(7))</f>
        <v/>
      </c>
      <c r="AE28" s="15" t="str">
        <f aca="false">IF(OR(T28="",S28=""),"",T28-S28)</f>
        <v/>
      </c>
      <c r="AF28" s="15" t="str">
        <f aca="false">IF(OR(V28="",Seeds!$C$8=""),"",V28-Seeds!$C$8)</f>
        <v/>
      </c>
      <c r="AG28" s="15" t="str">
        <f aca="false">IF(OR(AF28="",Seeds!$C$10=""),"",IF(ABS(AF28)&gt;Seeds!$C$10,"Có","Không"))</f>
        <v/>
      </c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14"/>
      <c r="R29" s="13"/>
      <c r="S29" s="14"/>
      <c r="T29" s="14"/>
      <c r="U29" s="14"/>
      <c r="V29" s="14"/>
      <c r="W29" s="13"/>
      <c r="X29" s="13"/>
      <c r="Y29" s="13"/>
      <c r="Z29" s="14"/>
      <c r="AA29" s="14"/>
      <c r="AB29" s="13"/>
      <c r="AC29" s="13"/>
      <c r="AD29" s="15" t="str">
        <f aca="false">IF(P29="","",P29-LN(7))</f>
        <v/>
      </c>
      <c r="AE29" s="15" t="str">
        <f aca="false">IF(OR(T29="",S29=""),"",T29-S29)</f>
        <v/>
      </c>
      <c r="AF29" s="15" t="str">
        <f aca="false">IF(OR(V29="",Seeds!$C$8=""),"",V29-Seeds!$C$8)</f>
        <v/>
      </c>
      <c r="AG29" s="15" t="str">
        <f aca="false">IF(OR(AF29="",Seeds!$C$10=""),"",IF(ABS(AF29)&gt;Seeds!$C$10,"Có","Không"))</f>
        <v/>
      </c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/>
      <c r="Q30" s="14"/>
      <c r="R30" s="13"/>
      <c r="S30" s="14"/>
      <c r="T30" s="14"/>
      <c r="U30" s="14"/>
      <c r="V30" s="14"/>
      <c r="W30" s="13"/>
      <c r="X30" s="13"/>
      <c r="Y30" s="13"/>
      <c r="Z30" s="14"/>
      <c r="AA30" s="14"/>
      <c r="AB30" s="13"/>
      <c r="AC30" s="13"/>
      <c r="AD30" s="15" t="str">
        <f aca="false">IF(P30="","",P30-LN(7))</f>
        <v/>
      </c>
      <c r="AE30" s="15" t="str">
        <f aca="false">IF(OR(T30="",S30=""),"",T30-S30)</f>
        <v/>
      </c>
      <c r="AF30" s="15" t="str">
        <f aca="false">IF(OR(V30="",Seeds!$C$8=""),"",V30-Seeds!$C$8)</f>
        <v/>
      </c>
      <c r="AG30" s="15" t="str">
        <f aca="false">IF(OR(AF30="",Seeds!$C$10=""),"",IF(ABS(AF30)&gt;Seeds!$C$10,"Có","Không"))</f>
        <v/>
      </c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4"/>
      <c r="Q31" s="14"/>
      <c r="R31" s="13"/>
      <c r="S31" s="14"/>
      <c r="T31" s="14"/>
      <c r="U31" s="14"/>
      <c r="V31" s="14"/>
      <c r="W31" s="13"/>
      <c r="X31" s="13"/>
      <c r="Y31" s="13"/>
      <c r="Z31" s="14"/>
      <c r="AA31" s="14"/>
      <c r="AB31" s="13"/>
      <c r="AC31" s="13"/>
      <c r="AD31" s="15" t="str">
        <f aca="false">IF(P31="","",P31-LN(7))</f>
        <v/>
      </c>
      <c r="AE31" s="15" t="str">
        <f aca="false">IF(OR(T31="",S31=""),"",T31-S31)</f>
        <v/>
      </c>
      <c r="AF31" s="15" t="str">
        <f aca="false">IF(OR(V31="",Seeds!$C$8=""),"",V31-Seeds!$C$8)</f>
        <v/>
      </c>
      <c r="AG31" s="15" t="str">
        <f aca="false">IF(OR(AF31="",Seeds!$C$10=""),"",IF(ABS(AF31)&gt;Seeds!$C$10,"Có","Không"))</f>
        <v/>
      </c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  <c r="Q32" s="14"/>
      <c r="R32" s="13"/>
      <c r="S32" s="14"/>
      <c r="T32" s="14"/>
      <c r="U32" s="14"/>
      <c r="V32" s="14"/>
      <c r="W32" s="13"/>
      <c r="X32" s="13"/>
      <c r="Y32" s="13"/>
      <c r="Z32" s="14"/>
      <c r="AA32" s="14"/>
      <c r="AB32" s="13"/>
      <c r="AC32" s="13"/>
      <c r="AD32" s="15" t="str">
        <f aca="false">IF(P32="","",P32-LN(7))</f>
        <v/>
      </c>
      <c r="AE32" s="15" t="str">
        <f aca="false">IF(OR(T32="",S32=""),"",T32-S32)</f>
        <v/>
      </c>
      <c r="AF32" s="15" t="str">
        <f aca="false">IF(OR(V32="",Seeds!$C$8=""),"",V32-Seeds!$C$8)</f>
        <v/>
      </c>
      <c r="AG32" s="15" t="str">
        <f aca="false">IF(OR(AF32="",Seeds!$C$10=""),"",IF(ABS(AF32)&gt;Seeds!$C$10,"Có","Không"))</f>
        <v/>
      </c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4"/>
      <c r="Q33" s="14"/>
      <c r="R33" s="13"/>
      <c r="S33" s="14"/>
      <c r="T33" s="14"/>
      <c r="U33" s="14"/>
      <c r="V33" s="14"/>
      <c r="W33" s="13"/>
      <c r="X33" s="13"/>
      <c r="Y33" s="13"/>
      <c r="Z33" s="14"/>
      <c r="AA33" s="14"/>
      <c r="AB33" s="13"/>
      <c r="AC33" s="13"/>
      <c r="AD33" s="15" t="str">
        <f aca="false">IF(P33="","",P33-LN(7))</f>
        <v/>
      </c>
      <c r="AE33" s="15" t="str">
        <f aca="false">IF(OR(T33="",S33=""),"",T33-S33)</f>
        <v/>
      </c>
      <c r="AF33" s="15" t="str">
        <f aca="false">IF(OR(V33="",Seeds!$C$8=""),"",V33-Seeds!$C$8)</f>
        <v/>
      </c>
      <c r="AG33" s="15" t="str">
        <f aca="false">IF(OR(AF33="",Seeds!$C$10=""),"",IF(ABS(AF33)&gt;Seeds!$C$10,"Có","Không"))</f>
        <v/>
      </c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4"/>
      <c r="Q34" s="14"/>
      <c r="R34" s="13"/>
      <c r="S34" s="14"/>
      <c r="T34" s="14"/>
      <c r="U34" s="14"/>
      <c r="V34" s="14"/>
      <c r="W34" s="13"/>
      <c r="X34" s="13"/>
      <c r="Y34" s="13"/>
      <c r="Z34" s="14"/>
      <c r="AA34" s="14"/>
      <c r="AB34" s="13"/>
      <c r="AC34" s="13"/>
      <c r="AD34" s="15" t="str">
        <f aca="false">IF(P34="","",P34-LN(7))</f>
        <v/>
      </c>
      <c r="AE34" s="15" t="str">
        <f aca="false">IF(OR(T34="",S34=""),"",T34-S34)</f>
        <v/>
      </c>
      <c r="AF34" s="15" t="str">
        <f aca="false">IF(OR(V34="",Seeds!$C$8=""),"",V34-Seeds!$C$8)</f>
        <v/>
      </c>
      <c r="AG34" s="15" t="str">
        <f aca="false">IF(OR(AF34="",Seeds!$C$10=""),"",IF(ABS(AF34)&gt;Seeds!$C$10,"Có","Không"))</f>
        <v/>
      </c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4"/>
      <c r="Q35" s="14"/>
      <c r="R35" s="13"/>
      <c r="S35" s="14"/>
      <c r="T35" s="14"/>
      <c r="U35" s="14"/>
      <c r="V35" s="14"/>
      <c r="W35" s="13"/>
      <c r="X35" s="13"/>
      <c r="Y35" s="13"/>
      <c r="Z35" s="14"/>
      <c r="AA35" s="14"/>
      <c r="AB35" s="13"/>
      <c r="AC35" s="13"/>
      <c r="AD35" s="15" t="str">
        <f aca="false">IF(P35="","",P35-LN(7))</f>
        <v/>
      </c>
      <c r="AE35" s="15" t="str">
        <f aca="false">IF(OR(T35="",S35=""),"",T35-S35)</f>
        <v/>
      </c>
      <c r="AF35" s="15" t="str">
        <f aca="false">IF(OR(V35="",Seeds!$C$8=""),"",V35-Seeds!$C$8)</f>
        <v/>
      </c>
      <c r="AG35" s="15" t="str">
        <f aca="false">IF(OR(AF35="",Seeds!$C$10=""),"",IF(ABS(AF35)&gt;Seeds!$C$10,"Có","Không"))</f>
        <v/>
      </c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4"/>
      <c r="Q36" s="14"/>
      <c r="R36" s="13"/>
      <c r="S36" s="14"/>
      <c r="T36" s="14"/>
      <c r="U36" s="14"/>
      <c r="V36" s="14"/>
      <c r="W36" s="13"/>
      <c r="X36" s="13"/>
      <c r="Y36" s="13"/>
      <c r="Z36" s="14"/>
      <c r="AA36" s="14"/>
      <c r="AB36" s="13"/>
      <c r="AC36" s="13"/>
      <c r="AD36" s="15" t="str">
        <f aca="false">IF(P36="","",P36-LN(7))</f>
        <v/>
      </c>
      <c r="AE36" s="15" t="str">
        <f aca="false">IF(OR(T36="",S36=""),"",T36-S36)</f>
        <v/>
      </c>
      <c r="AF36" s="15" t="str">
        <f aca="false">IF(OR(V36="",Seeds!$C$8=""),"",V36-Seeds!$C$8)</f>
        <v/>
      </c>
      <c r="AG36" s="15" t="str">
        <f aca="false">IF(OR(AF36="",Seeds!$C$10=""),"",IF(ABS(AF36)&gt;Seeds!$C$10,"Có","Không"))</f>
        <v/>
      </c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4"/>
      <c r="Q37" s="14"/>
      <c r="R37" s="13"/>
      <c r="S37" s="14"/>
      <c r="T37" s="14"/>
      <c r="U37" s="14"/>
      <c r="V37" s="14"/>
      <c r="W37" s="13"/>
      <c r="X37" s="13"/>
      <c r="Y37" s="13"/>
      <c r="Z37" s="14"/>
      <c r="AA37" s="14"/>
      <c r="AB37" s="13"/>
      <c r="AC37" s="13"/>
      <c r="AD37" s="15" t="str">
        <f aca="false">IF(P37="","",P37-LN(7))</f>
        <v/>
      </c>
      <c r="AE37" s="15" t="str">
        <f aca="false">IF(OR(T37="",S37=""),"",T37-S37)</f>
        <v/>
      </c>
      <c r="AF37" s="15" t="str">
        <f aca="false">IF(OR(V37="",Seeds!$C$8=""),"",V37-Seeds!$C$8)</f>
        <v/>
      </c>
      <c r="AG37" s="15" t="str">
        <f aca="false">IF(OR(AF37="",Seeds!$C$10=""),"",IF(ABS(AF37)&gt;Seeds!$C$10,"Có","Không"))</f>
        <v/>
      </c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4"/>
      <c r="Q38" s="14"/>
      <c r="R38" s="13"/>
      <c r="S38" s="14"/>
      <c r="T38" s="14"/>
      <c r="U38" s="14"/>
      <c r="V38" s="14"/>
      <c r="W38" s="13"/>
      <c r="X38" s="13"/>
      <c r="Y38" s="13"/>
      <c r="Z38" s="14"/>
      <c r="AA38" s="14"/>
      <c r="AB38" s="13"/>
      <c r="AC38" s="13"/>
      <c r="AD38" s="15" t="str">
        <f aca="false">IF(P38="","",P38-LN(7))</f>
        <v/>
      </c>
      <c r="AE38" s="15" t="str">
        <f aca="false">IF(OR(T38="",S38=""),"",T38-S38)</f>
        <v/>
      </c>
      <c r="AF38" s="15" t="str">
        <f aca="false">IF(OR(V38="",Seeds!$C$8=""),"",V38-Seeds!$C$8)</f>
        <v/>
      </c>
      <c r="AG38" s="15" t="str">
        <f aca="false">IF(OR(AF38="",Seeds!$C$10=""),"",IF(ABS(AF38)&gt;Seeds!$C$10,"Có","Không"))</f>
        <v/>
      </c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4"/>
      <c r="Q39" s="14"/>
      <c r="R39" s="13"/>
      <c r="S39" s="14"/>
      <c r="T39" s="14"/>
      <c r="U39" s="14"/>
      <c r="V39" s="14"/>
      <c r="W39" s="13"/>
      <c r="X39" s="13"/>
      <c r="Y39" s="13"/>
      <c r="Z39" s="14"/>
      <c r="AA39" s="14"/>
      <c r="AB39" s="13"/>
      <c r="AC39" s="13"/>
      <c r="AD39" s="15" t="str">
        <f aca="false">IF(P39="","",P39-LN(7))</f>
        <v/>
      </c>
      <c r="AE39" s="15" t="str">
        <f aca="false">IF(OR(T39="",S39=""),"",T39-S39)</f>
        <v/>
      </c>
      <c r="AF39" s="15" t="str">
        <f aca="false">IF(OR(V39="",Seeds!$C$8=""),"",V39-Seeds!$C$8)</f>
        <v/>
      </c>
      <c r="AG39" s="15" t="str">
        <f aca="false">IF(OR(AF39="",Seeds!$C$10=""),"",IF(ABS(AF39)&gt;Seeds!$C$10,"Có","Không"))</f>
        <v/>
      </c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4"/>
      <c r="Q40" s="14"/>
      <c r="R40" s="13"/>
      <c r="S40" s="14"/>
      <c r="T40" s="14"/>
      <c r="U40" s="14"/>
      <c r="V40" s="14"/>
      <c r="W40" s="13"/>
      <c r="X40" s="13"/>
      <c r="Y40" s="13"/>
      <c r="Z40" s="14"/>
      <c r="AA40" s="14"/>
      <c r="AB40" s="13"/>
      <c r="AC40" s="13"/>
      <c r="AD40" s="15" t="str">
        <f aca="false">IF(P40="","",P40-LN(7))</f>
        <v/>
      </c>
      <c r="AE40" s="15" t="str">
        <f aca="false">IF(OR(T40="",S40=""),"",T40-S40)</f>
        <v/>
      </c>
      <c r="AF40" s="15" t="str">
        <f aca="false">IF(OR(V40="",Seeds!$C$8=""),"",V40-Seeds!$C$8)</f>
        <v/>
      </c>
      <c r="AG40" s="15" t="str">
        <f aca="false">IF(OR(AF40="",Seeds!$C$10=""),"",IF(ABS(AF40)&gt;Seeds!$C$10,"Có","Không"))</f>
        <v/>
      </c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4"/>
      <c r="Q41" s="14"/>
      <c r="R41" s="13"/>
      <c r="S41" s="14"/>
      <c r="T41" s="14"/>
      <c r="U41" s="14"/>
      <c r="V41" s="14"/>
      <c r="W41" s="13"/>
      <c r="X41" s="13"/>
      <c r="Y41" s="13"/>
      <c r="Z41" s="14"/>
      <c r="AA41" s="14"/>
      <c r="AB41" s="13"/>
      <c r="AC41" s="13"/>
      <c r="AD41" s="15" t="str">
        <f aca="false">IF(P41="","",P41-LN(7))</f>
        <v/>
      </c>
      <c r="AE41" s="15" t="str">
        <f aca="false">IF(OR(T41="",S41=""),"",T41-S41)</f>
        <v/>
      </c>
      <c r="AF41" s="15" t="str">
        <f aca="false">IF(OR(V41="",Seeds!$C$8=""),"",V41-Seeds!$C$8)</f>
        <v/>
      </c>
      <c r="AG41" s="15" t="str">
        <f aca="false">IF(OR(AF41="",Seeds!$C$10=""),"",IF(ABS(AF41)&gt;Seeds!$C$10,"Có","Không"))</f>
        <v/>
      </c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4"/>
      <c r="Q42" s="14"/>
      <c r="R42" s="13"/>
      <c r="S42" s="14"/>
      <c r="T42" s="14"/>
      <c r="U42" s="14"/>
      <c r="V42" s="14"/>
      <c r="W42" s="13"/>
      <c r="X42" s="13"/>
      <c r="Y42" s="13"/>
      <c r="Z42" s="14"/>
      <c r="AA42" s="14"/>
      <c r="AB42" s="13"/>
      <c r="AC42" s="13"/>
      <c r="AD42" s="15" t="str">
        <f aca="false">IF(P42="","",P42-LN(7))</f>
        <v/>
      </c>
      <c r="AE42" s="15" t="str">
        <f aca="false">IF(OR(T42="",S42=""),"",T42-S42)</f>
        <v/>
      </c>
      <c r="AF42" s="15" t="str">
        <f aca="false">IF(OR(V42="",Seeds!$C$8=""),"",V42-Seeds!$C$8)</f>
        <v/>
      </c>
      <c r="AG42" s="15" t="str">
        <f aca="false">IF(OR(AF42="",Seeds!$C$10=""),"",IF(ABS(AF42)&gt;Seeds!$C$10,"Có","Không"))</f>
        <v/>
      </c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4"/>
      <c r="Q43" s="14"/>
      <c r="R43" s="13"/>
      <c r="S43" s="14"/>
      <c r="T43" s="14"/>
      <c r="U43" s="14"/>
      <c r="V43" s="14"/>
      <c r="W43" s="13"/>
      <c r="X43" s="13"/>
      <c r="Y43" s="13"/>
      <c r="Z43" s="14"/>
      <c r="AA43" s="14"/>
      <c r="AB43" s="13"/>
      <c r="AC43" s="13"/>
      <c r="AD43" s="15" t="str">
        <f aca="false">IF(P43="","",P43-LN(7))</f>
        <v/>
      </c>
      <c r="AE43" s="15" t="str">
        <f aca="false">IF(OR(T43="",S43=""),"",T43-S43)</f>
        <v/>
      </c>
      <c r="AF43" s="15" t="str">
        <f aca="false">IF(OR(V43="",Seeds!$C$8=""),"",V43-Seeds!$C$8)</f>
        <v/>
      </c>
      <c r="AG43" s="15" t="str">
        <f aca="false">IF(OR(AF43="",Seeds!$C$10=""),"",IF(ABS(AF43)&gt;Seeds!$C$10,"Có","Không"))</f>
        <v/>
      </c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4"/>
      <c r="Q44" s="14"/>
      <c r="R44" s="13"/>
      <c r="S44" s="14"/>
      <c r="T44" s="14"/>
      <c r="U44" s="14"/>
      <c r="V44" s="14"/>
      <c r="W44" s="13"/>
      <c r="X44" s="13"/>
      <c r="Y44" s="13"/>
      <c r="Z44" s="14"/>
      <c r="AA44" s="14"/>
      <c r="AB44" s="13"/>
      <c r="AC44" s="13"/>
      <c r="AD44" s="15" t="str">
        <f aca="false">IF(P44="","",P44-LN(7))</f>
        <v/>
      </c>
      <c r="AE44" s="15" t="str">
        <f aca="false">IF(OR(T44="",S44=""),"",T44-S44)</f>
        <v/>
      </c>
      <c r="AF44" s="15" t="str">
        <f aca="false">IF(OR(V44="",Seeds!$C$8=""),"",V44-Seeds!$C$8)</f>
        <v/>
      </c>
      <c r="AG44" s="15" t="str">
        <f aca="false">IF(OR(AF44="",Seeds!$C$10=""),"",IF(ABS(AF44)&gt;Seeds!$C$10,"Có","Không"))</f>
        <v/>
      </c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4"/>
      <c r="Q45" s="14"/>
      <c r="R45" s="13"/>
      <c r="S45" s="14"/>
      <c r="T45" s="14"/>
      <c r="U45" s="14"/>
      <c r="V45" s="14"/>
      <c r="W45" s="13"/>
      <c r="X45" s="13"/>
      <c r="Y45" s="13"/>
      <c r="Z45" s="14"/>
      <c r="AA45" s="14"/>
      <c r="AB45" s="13"/>
      <c r="AC45" s="13"/>
      <c r="AD45" s="15" t="str">
        <f aca="false">IF(P45="","",P45-LN(7))</f>
        <v/>
      </c>
      <c r="AE45" s="15" t="str">
        <f aca="false">IF(OR(T45="",S45=""),"",T45-S45)</f>
        <v/>
      </c>
      <c r="AF45" s="15" t="str">
        <f aca="false">IF(OR(V45="",Seeds!$C$8=""),"",V45-Seeds!$C$8)</f>
        <v/>
      </c>
      <c r="AG45" s="15" t="str">
        <f aca="false">IF(OR(AF45="",Seeds!$C$10=""),"",IF(ABS(AF45)&gt;Seeds!$C$10,"Có","Không"))</f>
        <v/>
      </c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4"/>
      <c r="Q46" s="14"/>
      <c r="R46" s="13"/>
      <c r="S46" s="14"/>
      <c r="T46" s="14"/>
      <c r="U46" s="14"/>
      <c r="V46" s="14"/>
      <c r="W46" s="13"/>
      <c r="X46" s="13"/>
      <c r="Y46" s="13"/>
      <c r="Z46" s="14"/>
      <c r="AA46" s="14"/>
      <c r="AB46" s="13"/>
      <c r="AC46" s="13"/>
      <c r="AD46" s="15" t="str">
        <f aca="false">IF(P46="","",P46-LN(7))</f>
        <v/>
      </c>
      <c r="AE46" s="15" t="str">
        <f aca="false">IF(OR(T46="",S46=""),"",T46-S46)</f>
        <v/>
      </c>
      <c r="AF46" s="15" t="str">
        <f aca="false">IF(OR(V46="",Seeds!$C$8=""),"",V46-Seeds!$C$8)</f>
        <v/>
      </c>
      <c r="AG46" s="15" t="str">
        <f aca="false">IF(OR(AF46="",Seeds!$C$10=""),"",IF(ABS(AF46)&gt;Seeds!$C$10,"Có","Không"))</f>
        <v/>
      </c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4"/>
      <c r="Q47" s="14"/>
      <c r="R47" s="13"/>
      <c r="S47" s="14"/>
      <c r="T47" s="14"/>
      <c r="U47" s="14"/>
      <c r="V47" s="14"/>
      <c r="W47" s="13"/>
      <c r="X47" s="13"/>
      <c r="Y47" s="13"/>
      <c r="Z47" s="14"/>
      <c r="AA47" s="14"/>
      <c r="AB47" s="13"/>
      <c r="AC47" s="13"/>
      <c r="AD47" s="15" t="str">
        <f aca="false">IF(P47="","",P47-LN(7))</f>
        <v/>
      </c>
      <c r="AE47" s="15" t="str">
        <f aca="false">IF(OR(T47="",S47=""),"",T47-S47)</f>
        <v/>
      </c>
      <c r="AF47" s="15" t="str">
        <f aca="false">IF(OR(V47="",Seeds!$C$8=""),"",V47-Seeds!$C$8)</f>
        <v/>
      </c>
      <c r="AG47" s="15" t="str">
        <f aca="false">IF(OR(AF47="",Seeds!$C$10=""),"",IF(ABS(AF47)&gt;Seeds!$C$10,"Có","Không"))</f>
        <v/>
      </c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4"/>
      <c r="Q48" s="14"/>
      <c r="R48" s="13"/>
      <c r="S48" s="14"/>
      <c r="T48" s="14"/>
      <c r="U48" s="14"/>
      <c r="V48" s="14"/>
      <c r="W48" s="13"/>
      <c r="X48" s="13"/>
      <c r="Y48" s="13"/>
      <c r="Z48" s="14"/>
      <c r="AA48" s="14"/>
      <c r="AB48" s="13"/>
      <c r="AC48" s="13"/>
      <c r="AD48" s="15" t="str">
        <f aca="false">IF(P48="","",P48-LN(7))</f>
        <v/>
      </c>
      <c r="AE48" s="15" t="str">
        <f aca="false">IF(OR(T48="",S48=""),"",T48-S48)</f>
        <v/>
      </c>
      <c r="AF48" s="15" t="str">
        <f aca="false">IF(OR(V48="",Seeds!$C$8=""),"",V48-Seeds!$C$8)</f>
        <v/>
      </c>
      <c r="AG48" s="15" t="str">
        <f aca="false">IF(OR(AF48="",Seeds!$C$10=""),"",IF(ABS(AF48)&gt;Seeds!$C$10,"Có","Không"))</f>
        <v/>
      </c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4"/>
      <c r="Q49" s="14"/>
      <c r="R49" s="13"/>
      <c r="S49" s="14"/>
      <c r="T49" s="14"/>
      <c r="U49" s="14"/>
      <c r="V49" s="14"/>
      <c r="W49" s="13"/>
      <c r="X49" s="13"/>
      <c r="Y49" s="13"/>
      <c r="Z49" s="14"/>
      <c r="AA49" s="14"/>
      <c r="AB49" s="13"/>
      <c r="AC49" s="13"/>
      <c r="AD49" s="15" t="str">
        <f aca="false">IF(P49="","",P49-LN(7))</f>
        <v/>
      </c>
      <c r="AE49" s="15" t="str">
        <f aca="false">IF(OR(T49="",S49=""),"",T49-S49)</f>
        <v/>
      </c>
      <c r="AF49" s="15" t="str">
        <f aca="false">IF(OR(V49="",Seeds!$C$8=""),"",V49-Seeds!$C$8)</f>
        <v/>
      </c>
      <c r="AG49" s="15" t="str">
        <f aca="false">IF(OR(AF49="",Seeds!$C$10=""),"",IF(ABS(AF49)&gt;Seeds!$C$10,"Có","Không"))</f>
        <v/>
      </c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4"/>
      <c r="Q50" s="14"/>
      <c r="R50" s="13"/>
      <c r="S50" s="14"/>
      <c r="T50" s="14"/>
      <c r="U50" s="14"/>
      <c r="V50" s="14"/>
      <c r="W50" s="13"/>
      <c r="X50" s="13"/>
      <c r="Y50" s="13"/>
      <c r="Z50" s="14"/>
      <c r="AA50" s="14"/>
      <c r="AB50" s="13"/>
      <c r="AC50" s="13"/>
      <c r="AD50" s="15" t="str">
        <f aca="false">IF(P50="","",P50-LN(7))</f>
        <v/>
      </c>
      <c r="AE50" s="15" t="str">
        <f aca="false">IF(OR(T50="",S50=""),"",T50-S50)</f>
        <v/>
      </c>
      <c r="AF50" s="15" t="str">
        <f aca="false">IF(OR(V50="",Seeds!$C$8=""),"",V50-Seeds!$C$8)</f>
        <v/>
      </c>
      <c r="AG50" s="15" t="str">
        <f aca="false">IF(OR(AF50="",Seeds!$C$10=""),"",IF(ABS(AF50)&gt;Seeds!$C$10,"Có","Không"))</f>
        <v/>
      </c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4"/>
      <c r="Q51" s="14"/>
      <c r="R51" s="13"/>
      <c r="S51" s="14"/>
      <c r="T51" s="14"/>
      <c r="U51" s="14"/>
      <c r="V51" s="14"/>
      <c r="W51" s="13"/>
      <c r="X51" s="13"/>
      <c r="Y51" s="13"/>
      <c r="Z51" s="14"/>
      <c r="AA51" s="14"/>
      <c r="AB51" s="13"/>
      <c r="AC51" s="13"/>
      <c r="AD51" s="15" t="str">
        <f aca="false">IF(P51="","",P51-LN(7))</f>
        <v/>
      </c>
      <c r="AE51" s="15" t="str">
        <f aca="false">IF(OR(T51="",S51=""),"",T51-S51)</f>
        <v/>
      </c>
      <c r="AF51" s="15" t="str">
        <f aca="false">IF(OR(V51="",Seeds!$C$8=""),"",V51-Seeds!$C$8)</f>
        <v/>
      </c>
      <c r="AG51" s="15" t="str">
        <f aca="false">IF(OR(AF51="",Seeds!$C$10=""),"",IF(ABS(AF51)&gt;Seeds!$C$10,"Có","Không"))</f>
        <v/>
      </c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  <c r="Q52" s="14"/>
      <c r="R52" s="13"/>
      <c r="S52" s="14"/>
      <c r="T52" s="14"/>
      <c r="U52" s="14"/>
      <c r="V52" s="14"/>
      <c r="W52" s="13"/>
      <c r="X52" s="13"/>
      <c r="Y52" s="13"/>
      <c r="Z52" s="14"/>
      <c r="AA52" s="14"/>
      <c r="AB52" s="13"/>
      <c r="AC52" s="13"/>
      <c r="AD52" s="15" t="str">
        <f aca="false">IF(P52="","",P52-LN(7))</f>
        <v/>
      </c>
      <c r="AE52" s="15" t="str">
        <f aca="false">IF(OR(T52="",S52=""),"",T52-S52)</f>
        <v/>
      </c>
      <c r="AF52" s="15" t="str">
        <f aca="false">IF(OR(V52="",Seeds!$C$8=""),"",V52-Seeds!$C$8)</f>
        <v/>
      </c>
      <c r="AG52" s="15" t="str">
        <f aca="false">IF(OR(AF52="",Seeds!$C$10=""),"",IF(ABS(AF52)&gt;Seeds!$C$10,"Có","Không"))</f>
        <v/>
      </c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4"/>
      <c r="Q53" s="14"/>
      <c r="R53" s="13"/>
      <c r="S53" s="14"/>
      <c r="T53" s="14"/>
      <c r="U53" s="14"/>
      <c r="V53" s="14"/>
      <c r="W53" s="13"/>
      <c r="X53" s="13"/>
      <c r="Y53" s="13"/>
      <c r="Z53" s="14"/>
      <c r="AA53" s="14"/>
      <c r="AB53" s="13"/>
      <c r="AC53" s="13"/>
      <c r="AD53" s="15" t="str">
        <f aca="false">IF(P53="","",P53-LN(7))</f>
        <v/>
      </c>
      <c r="AE53" s="15" t="str">
        <f aca="false">IF(OR(T53="",S53=""),"",T53-S53)</f>
        <v/>
      </c>
      <c r="AF53" s="15" t="str">
        <f aca="false">IF(OR(V53="",Seeds!$C$8=""),"",V53-Seeds!$C$8)</f>
        <v/>
      </c>
      <c r="AG53" s="15" t="str">
        <f aca="false">IF(OR(AF53="",Seeds!$C$10=""),"",IF(ABS(AF53)&gt;Seeds!$C$10,"Có","Không"))</f>
        <v/>
      </c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4"/>
      <c r="Q54" s="14"/>
      <c r="R54" s="13"/>
      <c r="S54" s="14"/>
      <c r="T54" s="14"/>
      <c r="U54" s="14"/>
      <c r="V54" s="14"/>
      <c r="W54" s="13"/>
      <c r="X54" s="13"/>
      <c r="Y54" s="13"/>
      <c r="Z54" s="14"/>
      <c r="AA54" s="14"/>
      <c r="AB54" s="13"/>
      <c r="AC54" s="13"/>
      <c r="AD54" s="15" t="str">
        <f aca="false">IF(P54="","",P54-LN(7))</f>
        <v/>
      </c>
      <c r="AE54" s="15" t="str">
        <f aca="false">IF(OR(T54="",S54=""),"",T54-S54)</f>
        <v/>
      </c>
      <c r="AF54" s="15" t="str">
        <f aca="false">IF(OR(V54="",Seeds!$C$8=""),"",V54-Seeds!$C$8)</f>
        <v/>
      </c>
      <c r="AG54" s="15" t="str">
        <f aca="false">IF(OR(AF54="",Seeds!$C$10=""),"",IF(ABS(AF54)&gt;Seeds!$C$10,"Có","Không"))</f>
        <v/>
      </c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  <c r="Q55" s="14"/>
      <c r="R55" s="13"/>
      <c r="S55" s="14"/>
      <c r="T55" s="14"/>
      <c r="U55" s="14"/>
      <c r="V55" s="14"/>
      <c r="W55" s="13"/>
      <c r="X55" s="13"/>
      <c r="Y55" s="13"/>
      <c r="Z55" s="14"/>
      <c r="AA55" s="14"/>
      <c r="AB55" s="13"/>
      <c r="AC55" s="13"/>
      <c r="AD55" s="15" t="str">
        <f aca="false">IF(P55="","",P55-LN(7))</f>
        <v/>
      </c>
      <c r="AE55" s="15" t="str">
        <f aca="false">IF(OR(T55="",S55=""),"",T55-S55)</f>
        <v/>
      </c>
      <c r="AF55" s="15" t="str">
        <f aca="false">IF(OR(V55="",Seeds!$C$8=""),"",V55-Seeds!$C$8)</f>
        <v/>
      </c>
      <c r="AG55" s="15" t="str">
        <f aca="false">IF(OR(AF55="",Seeds!$C$10=""),"",IF(ABS(AF55)&gt;Seeds!$C$10,"Có","Không"))</f>
        <v/>
      </c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4"/>
      <c r="Q56" s="14"/>
      <c r="R56" s="13"/>
      <c r="S56" s="14"/>
      <c r="T56" s="14"/>
      <c r="U56" s="14"/>
      <c r="V56" s="14"/>
      <c r="W56" s="13"/>
      <c r="X56" s="13"/>
      <c r="Y56" s="13"/>
      <c r="Z56" s="14"/>
      <c r="AA56" s="14"/>
      <c r="AB56" s="13"/>
      <c r="AC56" s="13"/>
      <c r="AD56" s="15" t="str">
        <f aca="false">IF(P56="","",P56-LN(7))</f>
        <v/>
      </c>
      <c r="AE56" s="15" t="str">
        <f aca="false">IF(OR(T56="",S56=""),"",T56-S56)</f>
        <v/>
      </c>
      <c r="AF56" s="15" t="str">
        <f aca="false">IF(OR(V56="",Seeds!$C$8=""),"",V56-Seeds!$C$8)</f>
        <v/>
      </c>
      <c r="AG56" s="15" t="str">
        <f aca="false">IF(OR(AF56="",Seeds!$C$10=""),"",IF(ABS(AF56)&gt;Seeds!$C$10,"Có","Không"))</f>
        <v/>
      </c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4"/>
      <c r="Q57" s="14"/>
      <c r="R57" s="13"/>
      <c r="S57" s="14"/>
      <c r="T57" s="14"/>
      <c r="U57" s="14"/>
      <c r="V57" s="14"/>
      <c r="W57" s="13"/>
      <c r="X57" s="13"/>
      <c r="Y57" s="13"/>
      <c r="Z57" s="14"/>
      <c r="AA57" s="14"/>
      <c r="AB57" s="13"/>
      <c r="AC57" s="13"/>
      <c r="AD57" s="15" t="str">
        <f aca="false">IF(P57="","",P57-LN(7))</f>
        <v/>
      </c>
      <c r="AE57" s="15" t="str">
        <f aca="false">IF(OR(T57="",S57=""),"",T57-S57)</f>
        <v/>
      </c>
      <c r="AF57" s="15" t="str">
        <f aca="false">IF(OR(V57="",Seeds!$C$8=""),"",V57-Seeds!$C$8)</f>
        <v/>
      </c>
      <c r="AG57" s="15" t="str">
        <f aca="false">IF(OR(AF57="",Seeds!$C$10=""),"",IF(ABS(AF57)&gt;Seeds!$C$10,"Có","Không"))</f>
        <v/>
      </c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4"/>
      <c r="Q58" s="14"/>
      <c r="R58" s="13"/>
      <c r="S58" s="14"/>
      <c r="T58" s="14"/>
      <c r="U58" s="14"/>
      <c r="V58" s="14"/>
      <c r="W58" s="13"/>
      <c r="X58" s="13"/>
      <c r="Y58" s="13"/>
      <c r="Z58" s="14"/>
      <c r="AA58" s="14"/>
      <c r="AB58" s="13"/>
      <c r="AC58" s="13"/>
      <c r="AD58" s="15" t="str">
        <f aca="false">IF(P58="","",P58-LN(7))</f>
        <v/>
      </c>
      <c r="AE58" s="15" t="str">
        <f aca="false">IF(OR(T58="",S58=""),"",T58-S58)</f>
        <v/>
      </c>
      <c r="AF58" s="15" t="str">
        <f aca="false">IF(OR(V58="",Seeds!$C$8=""),"",V58-Seeds!$C$8)</f>
        <v/>
      </c>
      <c r="AG58" s="15" t="str">
        <f aca="false">IF(OR(AF58="",Seeds!$C$10=""),"",IF(ABS(AF58)&gt;Seeds!$C$10,"Có","Không"))</f>
        <v/>
      </c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4"/>
      <c r="Q59" s="14"/>
      <c r="R59" s="13"/>
      <c r="S59" s="14"/>
      <c r="T59" s="14"/>
      <c r="U59" s="14"/>
      <c r="V59" s="14"/>
      <c r="W59" s="13"/>
      <c r="X59" s="13"/>
      <c r="Y59" s="13"/>
      <c r="Z59" s="14"/>
      <c r="AA59" s="14"/>
      <c r="AB59" s="13"/>
      <c r="AC59" s="13"/>
      <c r="AD59" s="15" t="str">
        <f aca="false">IF(P59="","",P59-LN(7))</f>
        <v/>
      </c>
      <c r="AE59" s="15" t="str">
        <f aca="false">IF(OR(T59="",S59=""),"",T59-S59)</f>
        <v/>
      </c>
      <c r="AF59" s="15" t="str">
        <f aca="false">IF(OR(V59="",Seeds!$C$8=""),"",V59-Seeds!$C$8)</f>
        <v/>
      </c>
      <c r="AG59" s="15" t="str">
        <f aca="false">IF(OR(AF59="",Seeds!$C$10=""),"",IF(ABS(AF59)&gt;Seeds!$C$10,"Có","Không"))</f>
        <v/>
      </c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4"/>
      <c r="Q60" s="14"/>
      <c r="R60" s="13"/>
      <c r="S60" s="14"/>
      <c r="T60" s="14"/>
      <c r="U60" s="14"/>
      <c r="V60" s="14"/>
      <c r="W60" s="13"/>
      <c r="X60" s="13"/>
      <c r="Y60" s="13"/>
      <c r="Z60" s="14"/>
      <c r="AA60" s="14"/>
      <c r="AB60" s="13"/>
      <c r="AC60" s="13"/>
      <c r="AD60" s="15" t="str">
        <f aca="false">IF(P60="","",P60-LN(7))</f>
        <v/>
      </c>
      <c r="AE60" s="15" t="str">
        <f aca="false">IF(OR(T60="",S60=""),"",T60-S60)</f>
        <v/>
      </c>
      <c r="AF60" s="15" t="str">
        <f aca="false">IF(OR(V60="",Seeds!$C$8=""),"",V60-Seeds!$C$8)</f>
        <v/>
      </c>
      <c r="AG60" s="15" t="str">
        <f aca="false">IF(OR(AF60="",Seeds!$C$10=""),"",IF(ABS(AF60)&gt;Seeds!$C$10,"Có","Không"))</f>
        <v/>
      </c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4"/>
      <c r="Q61" s="14"/>
      <c r="R61" s="13"/>
      <c r="S61" s="14"/>
      <c r="T61" s="14"/>
      <c r="U61" s="14"/>
      <c r="V61" s="14"/>
      <c r="W61" s="13"/>
      <c r="X61" s="13"/>
      <c r="Y61" s="13"/>
      <c r="Z61" s="14"/>
      <c r="AA61" s="14"/>
      <c r="AB61" s="13"/>
      <c r="AC61" s="13"/>
      <c r="AD61" s="15" t="str">
        <f aca="false">IF(P61="","",P61-LN(7))</f>
        <v/>
      </c>
      <c r="AE61" s="15" t="str">
        <f aca="false">IF(OR(T61="",S61=""),"",T61-S61)</f>
        <v/>
      </c>
      <c r="AF61" s="15" t="str">
        <f aca="false">IF(OR(V61="",Seeds!$C$8=""),"",V61-Seeds!$C$8)</f>
        <v/>
      </c>
      <c r="AG61" s="15" t="str">
        <f aca="false">IF(OR(AF61="",Seeds!$C$10=""),"",IF(ABS(AF61)&gt;Seeds!$C$10,"Có","Không"))</f>
        <v/>
      </c>
    </row>
  </sheetData>
  <autoFilter ref="A1:AG61"/>
  <dataValidations count="6">
    <dataValidation allowBlank="true" errorStyle="stop" operator="between" showDropDown="false" showErrorMessage="false" showInputMessage="false" sqref="B2:B61" type="list">
      <formula1>"baseline,loss,optimizer,hparam,dropout,clipping,amp,init,final,other"</formula1>
      <formula2>0</formula2>
    </dataValidation>
    <dataValidation allowBlank="true" errorStyle="stop" operator="between" showDropDown="false" showErrorMessage="false" showInputMessage="false" sqref="D2:D61" type="list">
      <formula1>"CE,MSE"</formula1>
      <formula2>0</formula2>
    </dataValidation>
    <dataValidation allowBlank="true" errorStyle="stop" operator="between" showDropDown="false" showErrorMessage="false" showInputMessage="false" sqref="E2:E61" type="list">
      <formula1>"SGD,SGD+momentum,Adam,AdamW"</formula1>
      <formula2>0</formula2>
    </dataValidation>
    <dataValidation allowBlank="true" errorStyle="stop" operator="between" showDropDown="false" showErrorMessage="false" showInputMessage="false" sqref="M2:M61" type="list">
      <formula1>"fp32,fp16,bf16"</formula1>
      <formula2>0</formula2>
    </dataValidation>
    <dataValidation allowBlank="true" errorStyle="stop" operator="between" showDropDown="false" showErrorMessage="false" showInputMessage="false" sqref="N2:N61" type="list">
      <formula1>"zeros,normal,xavier,he,default"</formula1>
      <formula2>0</formula2>
    </dataValidation>
    <dataValidation allowBlank="true" errorStyle="stop" operator="between" showDropDown="false" showErrorMessage="false" showInputMessage="false" sqref="Y2:Y6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</cols>
  <sheetData>
    <row r="1" customFormat="false" ht="30" hidden="false" customHeight="true" outlineLevel="0" collapsed="false">
      <c r="A1" s="7" t="s">
        <v>122</v>
      </c>
      <c r="B1" s="7" t="s">
        <v>70</v>
      </c>
      <c r="C1" s="7" t="s">
        <v>73</v>
      </c>
      <c r="D1" s="7" t="s">
        <v>61</v>
      </c>
    </row>
    <row r="2" customFormat="false" ht="15" hidden="false" customHeight="false" outlineLevel="0" collapsed="false">
      <c r="A2" s="12" t="s">
        <v>113</v>
      </c>
      <c r="B2" s="15" t="str">
        <f aca="false">IF($A2="","",IFERROR(IF(INDEX(Experiments!$U$2:$U$61,MATCH($A2,Experiments!$A$2:$A$61,0))="","",INDEX(Experiments!$U$2:$U$61,MATCH($A2,Experiments!$A$2:$A$61,0))),""))</f>
        <v/>
      </c>
      <c r="C2" s="15" t="str">
        <f aca="false">IF($A2="","",IFERROR(IF(INDEX(Experiments!$V$2:$V$61,MATCH($A2,Experiments!$A$2:$A$61,0))="","",INDEX(Experiments!$V$2:$V$61,MATCH($A2,Experiments!$A$2:$A$61,0))),""))</f>
        <v/>
      </c>
      <c r="D2" s="15" t="str">
        <f aca="false">IF($A2="","",IFERROR(IF(INDEX(Experiments!$Q$2:$Q$61,MATCH($A2,Experiments!$A$2:$A$61,0))="","",INDEX(Experiments!$Q$2:$Q$61,MATCH($A2,Experiments!$A$2:$A$61,0))),""))</f>
        <v/>
      </c>
    </row>
    <row r="3" customFormat="false" ht="15" hidden="false" customHeight="false" outlineLevel="0" collapsed="false">
      <c r="A3" s="12" t="s">
        <v>123</v>
      </c>
      <c r="B3" s="15" t="str">
        <f aca="false">IF($A3="","",IFERROR(IF(INDEX(Experiments!$U$2:$U$61,MATCH($A3,Experiments!$A$2:$A$61,0))="","",INDEX(Experiments!$U$2:$U$61,MATCH($A3,Experiments!$A$2:$A$61,0))),""))</f>
        <v/>
      </c>
      <c r="C3" s="15" t="str">
        <f aca="false">IF($A3="","",IFERROR(IF(INDEX(Experiments!$V$2:$V$61,MATCH($A3,Experiments!$A$2:$A$61,0))="","",INDEX(Experiments!$V$2:$V$61,MATCH($A3,Experiments!$A$2:$A$61,0))),""))</f>
        <v/>
      </c>
      <c r="D3" s="15" t="str">
        <f aca="false">IF($A3="","",IFERROR(IF(INDEX(Experiments!$Q$2:$Q$61,MATCH($A3,Experiments!$A$2:$A$61,0))="","",INDEX(Experiments!$Q$2:$Q$61,MATCH($A3,Experiments!$A$2:$A$61,0))),""))</f>
        <v/>
      </c>
    </row>
    <row r="4" customFormat="false" ht="15" hidden="false" customHeight="false" outlineLevel="0" collapsed="false">
      <c r="A4" s="12" t="s">
        <v>124</v>
      </c>
      <c r="B4" s="15" t="str">
        <f aca="false">IF($A4="","",IFERROR(IF(INDEX(Experiments!$U$2:$U$61,MATCH($A4,Experiments!$A$2:$A$61,0))="","",INDEX(Experiments!$U$2:$U$61,MATCH($A4,Experiments!$A$2:$A$61,0))),""))</f>
        <v/>
      </c>
      <c r="C4" s="15" t="str">
        <f aca="false">IF($A4="","",IFERROR(IF(INDEX(Experiments!$V$2:$V$61,MATCH($A4,Experiments!$A$2:$A$61,0))="","",INDEX(Experiments!$V$2:$V$61,MATCH($A4,Experiments!$A$2:$A$61,0))),""))</f>
        <v/>
      </c>
      <c r="D4" s="15" t="str">
        <f aca="false">IF($A4="","",IFERROR(IF(INDEX(Experiments!$Q$2:$Q$61,MATCH($A4,Experiments!$A$2:$A$61,0))="","",INDEX(Experiments!$Q$2:$Q$61,MATCH($A4,Experiments!$A$2:$A$61,0))),""))</f>
        <v/>
      </c>
    </row>
    <row r="5" customFormat="false" ht="15" hidden="false" customHeight="false" outlineLevel="0" collapsed="false">
      <c r="A5" s="13"/>
      <c r="B5" s="15" t="str">
        <f aca="false">IF($A5="","",IFERROR(IF(INDEX(Experiments!$U$2:$U$61,MATCH($A5,Experiments!$A$2:$A$61,0))="","",INDEX(Experiments!$U$2:$U$61,MATCH($A5,Experiments!$A$2:$A$61,0))),""))</f>
        <v/>
      </c>
      <c r="C5" s="15" t="str">
        <f aca="false">IF($A5="","",IFERROR(IF(INDEX(Experiments!$V$2:$V$61,MATCH($A5,Experiments!$A$2:$A$61,0))="","",INDEX(Experiments!$V$2:$V$61,MATCH($A5,Experiments!$A$2:$A$61,0))),""))</f>
        <v/>
      </c>
      <c r="D5" s="15" t="str">
        <f aca="false">IF($A5="","",IFERROR(IF(INDEX(Experiments!$Q$2:$Q$61,MATCH($A5,Experiments!$A$2:$A$61,0))="","",INDEX(Experiments!$Q$2:$Q$61,MATCH($A5,Experiments!$A$2:$A$61,0))),""))</f>
        <v/>
      </c>
    </row>
    <row r="6" customFormat="false" ht="15" hidden="false" customHeight="false" outlineLevel="0" collapsed="false">
      <c r="A6" s="13"/>
      <c r="B6" s="15" t="str">
        <f aca="false">IF($A6="","",IFERROR(IF(INDEX(Experiments!$U$2:$U$61,MATCH($A6,Experiments!$A$2:$A$61,0))="","",INDEX(Experiments!$U$2:$U$61,MATCH($A6,Experiments!$A$2:$A$61,0))),""))</f>
        <v/>
      </c>
      <c r="C6" s="15" t="str">
        <f aca="false">IF($A6="","",IFERROR(IF(INDEX(Experiments!$V$2:$V$61,MATCH($A6,Experiments!$A$2:$A$61,0))="","",INDEX(Experiments!$V$2:$V$61,MATCH($A6,Experiments!$A$2:$A$61,0))),""))</f>
        <v/>
      </c>
      <c r="D6" s="15" t="str">
        <f aca="false">IF($A6="","",IFERROR(IF(INDEX(Experiments!$Q$2:$Q$61,MATCH($A6,Experiments!$A$2:$A$61,0))="","",INDEX(Experiments!$Q$2:$Q$61,MATCH($A6,Experiments!$A$2:$A$61,0))),""))</f>
        <v/>
      </c>
    </row>
    <row r="8" customFormat="false" ht="15" hidden="false" customHeight="false" outlineLevel="0" collapsed="false">
      <c r="A8" s="16" t="s">
        <v>125</v>
      </c>
      <c r="B8" s="15" t="str">
        <f aca="false">IF(COUNT(B2:B6)=0,"",AVERAGE(B2:B6))</f>
        <v/>
      </c>
      <c r="C8" s="15" t="str">
        <f aca="false">IF(COUNT(C2:C6)=0,"",AVERAGE(C2:C6))</f>
        <v/>
      </c>
      <c r="D8" s="15" t="str">
        <f aca="false">IF(COUNT(D2:D6)=0,"",AVERAGE(D2:D6))</f>
        <v/>
      </c>
    </row>
    <row r="9" customFormat="false" ht="15" hidden="false" customHeight="false" outlineLevel="0" collapsed="false">
      <c r="A9" s="16" t="s">
        <v>126</v>
      </c>
      <c r="B9" s="15" t="str">
        <f aca="false">IF(COUNT(B2:B6)&lt;2,"",STDEV(B2:B6))</f>
        <v/>
      </c>
      <c r="C9" s="15" t="str">
        <f aca="false">IF(COUNT(C2:C6)&lt;2,"",STDEV(C2:C6))</f>
        <v/>
      </c>
      <c r="D9" s="15" t="str">
        <f aca="false">IF(COUNT(D2:D6)&lt;2,"",STDEV(D2:D6))</f>
        <v/>
      </c>
    </row>
    <row r="10" customFormat="false" ht="15" hidden="false" customHeight="false" outlineLevel="0" collapsed="false">
      <c r="A10" s="16" t="s">
        <v>127</v>
      </c>
      <c r="B10" s="15" t="str">
        <f aca="false">IF(B9="","",2*B9)</f>
        <v/>
      </c>
      <c r="C10" s="15" t="str">
        <f aca="false">IF(C9="","",2*C9)</f>
        <v/>
      </c>
      <c r="D10" s="15" t="str">
        <f aca="false">IF(D9="","",2*D9)</f>
        <v/>
      </c>
    </row>
    <row r="12" customFormat="false" ht="15" hidden="false" customHeight="false" outlineLevel="0" collapsed="false">
      <c r="A12" s="2" t="s">
        <v>128</v>
      </c>
    </row>
    <row r="13" customFormat="false" ht="15" hidden="false" customHeight="false" outlineLevel="0" collapsed="false">
      <c r="A13" s="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50"/>
  </cols>
  <sheetData>
    <row r="1" customFormat="false" ht="31.5" hidden="false" customHeight="true" outlineLevel="0" collapsed="false">
      <c r="A1" s="7" t="s">
        <v>21</v>
      </c>
      <c r="B1" s="7" t="s">
        <v>130</v>
      </c>
      <c r="C1" s="7" t="s">
        <v>131</v>
      </c>
      <c r="D1" s="7" t="s">
        <v>132</v>
      </c>
      <c r="E1" s="7" t="s">
        <v>133</v>
      </c>
      <c r="F1" s="7" t="s">
        <v>134</v>
      </c>
      <c r="G1" s="7" t="s">
        <v>135</v>
      </c>
      <c r="H1" s="7" t="s">
        <v>136</v>
      </c>
    </row>
    <row r="2" customFormat="false" ht="15" hidden="false" customHeight="false" outlineLevel="0" collapsed="false">
      <c r="A2" s="11" t="s">
        <v>114</v>
      </c>
      <c r="B2" s="17" t="n">
        <f aca="false">COUNTIF(Experiments!$B$2:$B$61,A2)</f>
        <v>1</v>
      </c>
      <c r="C2" s="17" t="n">
        <f aca="false">COUNTIFS(Experiments!$B$2:$B$61,A2,Experiments!$V$2:$V$61,"&lt;&gt;")</f>
        <v>0</v>
      </c>
      <c r="D2" s="15" t="str">
        <f aca="false">IF(C2=0,"",_xlfn.MAXIFS(Experiments!$V$2:$V$61,Experiments!$B$2:$B$61,A2))</f>
        <v/>
      </c>
      <c r="E2" s="15" t="str">
        <f aca="false">IF(C2=0,"",_xlfn.MINIFS(Experiments!$V$2:$V$61,Experiments!$B$2:$B$61,A2))</f>
        <v/>
      </c>
      <c r="F2" s="15" t="str">
        <f aca="false">IF(C2=0,"",_xlfn.MAXIFS(Experiments!$U$2:$U$61,Experiments!$B$2:$B$61,A2))</f>
        <v/>
      </c>
      <c r="G2" s="17" t="s">
        <v>137</v>
      </c>
      <c r="H2" s="18"/>
    </row>
    <row r="3" customFormat="false" ht="15" hidden="false" customHeight="false" outlineLevel="0" collapsed="false">
      <c r="A3" s="11" t="s">
        <v>27</v>
      </c>
      <c r="B3" s="17" t="n">
        <f aca="false">COUNTIF(Experiments!$B$2:$B$61,A3)</f>
        <v>0</v>
      </c>
      <c r="C3" s="17" t="n">
        <f aca="false">COUNTIFS(Experiments!$B$2:$B$61,A3,Experiments!$V$2:$V$61,"&lt;&gt;")</f>
        <v>0</v>
      </c>
      <c r="D3" s="15" t="str">
        <f aca="false">IF(C3=0,"",_xlfn.MAXIFS(Experiments!$V$2:$V$61,Experiments!$B$2:$B$61,A3))</f>
        <v/>
      </c>
      <c r="E3" s="15" t="str">
        <f aca="false">IF(C3=0,"",_xlfn.MINIFS(Experiments!$V$2:$V$61,Experiments!$B$2:$B$61,A3))</f>
        <v/>
      </c>
      <c r="F3" s="15" t="str">
        <f aca="false">IF(C3=0,"",_xlfn.MAXIFS(Experiments!$U$2:$U$61,Experiments!$B$2:$B$61,A3))</f>
        <v/>
      </c>
      <c r="G3" s="17" t="str">
        <f aca="false">IF(C3&gt;0,"Có","Chưa")</f>
        <v>Chưa</v>
      </c>
      <c r="H3" s="18"/>
    </row>
    <row r="4" customFormat="false" ht="15" hidden="false" customHeight="false" outlineLevel="0" collapsed="false">
      <c r="A4" s="11" t="s">
        <v>29</v>
      </c>
      <c r="B4" s="17" t="n">
        <f aca="false">COUNTIF(Experiments!$B$2:$B$61,A4)</f>
        <v>0</v>
      </c>
      <c r="C4" s="17" t="n">
        <f aca="false">COUNTIFS(Experiments!$B$2:$B$61,A4,Experiments!$V$2:$V$61,"&lt;&gt;")</f>
        <v>0</v>
      </c>
      <c r="D4" s="15" t="str">
        <f aca="false">IF(C4=0,"",_xlfn.MAXIFS(Experiments!$V$2:$V$61,Experiments!$B$2:$B$61,A4))</f>
        <v/>
      </c>
      <c r="E4" s="15" t="str">
        <f aca="false">IF(C4=0,"",_xlfn.MINIFS(Experiments!$V$2:$V$61,Experiments!$B$2:$B$61,A4))</f>
        <v/>
      </c>
      <c r="F4" s="15" t="str">
        <f aca="false">IF(C4=0,"",_xlfn.MAXIFS(Experiments!$U$2:$U$61,Experiments!$B$2:$B$61,A4))</f>
        <v/>
      </c>
      <c r="G4" s="17" t="str">
        <f aca="false">IF(C4&gt;0,"Có","Chưa")</f>
        <v>Chưa</v>
      </c>
      <c r="H4" s="18"/>
    </row>
    <row r="5" customFormat="false" ht="15" hidden="false" customHeight="false" outlineLevel="0" collapsed="false">
      <c r="A5" s="11" t="s">
        <v>138</v>
      </c>
      <c r="B5" s="17" t="n">
        <f aca="false">COUNTIF(Experiments!$B$2:$B$61,A5)</f>
        <v>0</v>
      </c>
      <c r="C5" s="17" t="n">
        <f aca="false">COUNTIFS(Experiments!$B$2:$B$61,A5,Experiments!$V$2:$V$61,"&lt;&gt;")</f>
        <v>0</v>
      </c>
      <c r="D5" s="15" t="str">
        <f aca="false">IF(C5=0,"",_xlfn.MAXIFS(Experiments!$V$2:$V$61,Experiments!$B$2:$B$61,A5))</f>
        <v/>
      </c>
      <c r="E5" s="15" t="str">
        <f aca="false">IF(C5=0,"",_xlfn.MINIFS(Experiments!$V$2:$V$61,Experiments!$B$2:$B$61,A5))</f>
        <v/>
      </c>
      <c r="F5" s="15" t="str">
        <f aca="false">IF(C5=0,"",_xlfn.MAXIFS(Experiments!$U$2:$U$61,Experiments!$B$2:$B$61,A5))</f>
        <v/>
      </c>
      <c r="G5" s="17" t="str">
        <f aca="false">IF(C5&gt;0,"Có","Chưa")</f>
        <v>Chưa</v>
      </c>
      <c r="H5" s="18"/>
    </row>
    <row r="6" customFormat="false" ht="15" hidden="false" customHeight="false" outlineLevel="0" collapsed="false">
      <c r="A6" s="11" t="s">
        <v>46</v>
      </c>
      <c r="B6" s="17" t="n">
        <f aca="false">COUNTIF(Experiments!$B$2:$B$61,A6)</f>
        <v>0</v>
      </c>
      <c r="C6" s="17" t="n">
        <f aca="false">COUNTIFS(Experiments!$B$2:$B$61,A6,Experiments!$V$2:$V$61,"&lt;&gt;")</f>
        <v>0</v>
      </c>
      <c r="D6" s="15" t="str">
        <f aca="false">IF(C6=0,"",_xlfn.MAXIFS(Experiments!$V$2:$V$61,Experiments!$B$2:$B$61,A6))</f>
        <v/>
      </c>
      <c r="E6" s="15" t="str">
        <f aca="false">IF(C6=0,"",_xlfn.MINIFS(Experiments!$V$2:$V$61,Experiments!$B$2:$B$61,A6))</f>
        <v/>
      </c>
      <c r="F6" s="15" t="str">
        <f aca="false">IF(C6=0,"",_xlfn.MAXIFS(Experiments!$U$2:$U$61,Experiments!$B$2:$B$61,A6))</f>
        <v/>
      </c>
      <c r="G6" s="17" t="str">
        <f aca="false">IF(C6&gt;0,"Có","Chưa")</f>
        <v>Chưa</v>
      </c>
      <c r="H6" s="18"/>
    </row>
    <row r="7" customFormat="false" ht="15" hidden="false" customHeight="false" outlineLevel="0" collapsed="false">
      <c r="A7" s="11" t="s">
        <v>139</v>
      </c>
      <c r="B7" s="17" t="n">
        <f aca="false">COUNTIF(Experiments!$B$2:$B$61,A7)</f>
        <v>0</v>
      </c>
      <c r="C7" s="17" t="n">
        <f aca="false">COUNTIFS(Experiments!$B$2:$B$61,A7,Experiments!$V$2:$V$61,"&lt;&gt;")</f>
        <v>0</v>
      </c>
      <c r="D7" s="15" t="str">
        <f aca="false">IF(C7=0,"",_xlfn.MAXIFS(Experiments!$V$2:$V$61,Experiments!$B$2:$B$61,A7))</f>
        <v/>
      </c>
      <c r="E7" s="15" t="str">
        <f aca="false">IF(C7=0,"",_xlfn.MINIFS(Experiments!$V$2:$V$61,Experiments!$B$2:$B$61,A7))</f>
        <v/>
      </c>
      <c r="F7" s="15" t="str">
        <f aca="false">IF(C7=0,"",_xlfn.MAXIFS(Experiments!$U$2:$U$61,Experiments!$B$2:$B$61,A7))</f>
        <v/>
      </c>
      <c r="G7" s="17" t="str">
        <f aca="false">IF(C7&gt;0,"Có","Chưa")</f>
        <v>Chưa</v>
      </c>
      <c r="H7" s="18"/>
    </row>
    <row r="8" customFormat="false" ht="15" hidden="false" customHeight="false" outlineLevel="0" collapsed="false">
      <c r="A8" s="11" t="s">
        <v>140</v>
      </c>
      <c r="B8" s="17" t="n">
        <f aca="false">COUNTIF(Experiments!$B$2:$B$61,A8)</f>
        <v>0</v>
      </c>
      <c r="C8" s="17" t="n">
        <f aca="false">COUNTIFS(Experiments!$B$2:$B$61,A8,Experiments!$V$2:$V$61,"&lt;&gt;")</f>
        <v>0</v>
      </c>
      <c r="D8" s="15" t="str">
        <f aca="false">IF(C8=0,"",_xlfn.MAXIFS(Experiments!$V$2:$V$61,Experiments!$B$2:$B$61,A8))</f>
        <v/>
      </c>
      <c r="E8" s="15" t="str">
        <f aca="false">IF(C8=0,"",_xlfn.MINIFS(Experiments!$V$2:$V$61,Experiments!$B$2:$B$61,A8))</f>
        <v/>
      </c>
      <c r="F8" s="15" t="str">
        <f aca="false">IF(C8=0,"",_xlfn.MAXIFS(Experiments!$U$2:$U$61,Experiments!$B$2:$B$61,A8))</f>
        <v/>
      </c>
      <c r="G8" s="17" t="str">
        <f aca="false">IF(C8&gt;0,"Có","Chưa")</f>
        <v>Chưa</v>
      </c>
      <c r="H8" s="18"/>
    </row>
    <row r="9" customFormat="false" ht="15" hidden="false" customHeight="false" outlineLevel="0" collapsed="false">
      <c r="A9" s="11" t="s">
        <v>53</v>
      </c>
      <c r="B9" s="17" t="n">
        <f aca="false">COUNTIF(Experiments!$B$2:$B$61,A9)</f>
        <v>0</v>
      </c>
      <c r="C9" s="17" t="n">
        <f aca="false">COUNTIFS(Experiments!$B$2:$B$61,A9,Experiments!$V$2:$V$61,"&lt;&gt;")</f>
        <v>0</v>
      </c>
      <c r="D9" s="15" t="str">
        <f aca="false">IF(C9=0,"",_xlfn.MAXIFS(Experiments!$V$2:$V$61,Experiments!$B$2:$B$61,A9))</f>
        <v/>
      </c>
      <c r="E9" s="15" t="str">
        <f aca="false">IF(C9=0,"",_xlfn.MINIFS(Experiments!$V$2:$V$61,Experiments!$B$2:$B$61,A9))</f>
        <v/>
      </c>
      <c r="F9" s="15" t="str">
        <f aca="false">IF(C9=0,"",_xlfn.MAXIFS(Experiments!$U$2:$U$61,Experiments!$B$2:$B$61,A9))</f>
        <v/>
      </c>
      <c r="G9" s="17" t="str">
        <f aca="false">IF(C9&gt;0,"Có","Chưa")</f>
        <v>Chưa</v>
      </c>
      <c r="H9" s="18"/>
    </row>
    <row r="10" customFormat="false" ht="15" hidden="false" customHeight="false" outlineLevel="0" collapsed="false">
      <c r="A10" s="11" t="s">
        <v>141</v>
      </c>
      <c r="B10" s="17" t="n">
        <f aca="false">COUNTIF(Experiments!$B$2:$B$61,A10)</f>
        <v>0</v>
      </c>
      <c r="C10" s="17" t="n">
        <f aca="false">COUNTIFS(Experiments!$B$2:$B$61,A10,Experiments!$V$2:$V$61,"&lt;&gt;")</f>
        <v>0</v>
      </c>
      <c r="D10" s="15" t="str">
        <f aca="false">IF(C10=0,"",_xlfn.MAXIFS(Experiments!$V$2:$V$61,Experiments!$B$2:$B$61,A10))</f>
        <v/>
      </c>
      <c r="E10" s="15" t="str">
        <f aca="false">IF(C10=0,"",_xlfn.MINIFS(Experiments!$V$2:$V$61,Experiments!$B$2:$B$61,A10))</f>
        <v/>
      </c>
      <c r="F10" s="15" t="str">
        <f aca="false">IF(C10=0,"",_xlfn.MAXIFS(Experiments!$U$2:$U$61,Experiments!$B$2:$B$61,A10))</f>
        <v/>
      </c>
      <c r="G10" s="17" t="s">
        <v>137</v>
      </c>
      <c r="H10" s="18"/>
    </row>
    <row r="11" customFormat="false" ht="15" hidden="false" customHeight="false" outlineLevel="0" collapsed="false">
      <c r="A11" s="11" t="s">
        <v>142</v>
      </c>
      <c r="B11" s="17" t="n">
        <f aca="false">COUNTIF(Experiments!$B$2:$B$61,A11)</f>
        <v>0</v>
      </c>
      <c r="C11" s="17" t="n">
        <f aca="false">COUNTIFS(Experiments!$B$2:$B$61,A11,Experiments!$V$2:$V$61,"&lt;&gt;")</f>
        <v>0</v>
      </c>
      <c r="D11" s="15" t="str">
        <f aca="false">IF(C11=0,"",_xlfn.MAXIFS(Experiments!$V$2:$V$61,Experiments!$B$2:$B$61,A11))</f>
        <v/>
      </c>
      <c r="E11" s="15" t="str">
        <f aca="false">IF(C11=0,"",_xlfn.MINIFS(Experiments!$V$2:$V$61,Experiments!$B$2:$B$61,A11))</f>
        <v/>
      </c>
      <c r="F11" s="15" t="str">
        <f aca="false">IF(C11=0,"",_xlfn.MAXIFS(Experiments!$U$2:$U$61,Experiments!$B$2:$B$61,A11))</f>
        <v/>
      </c>
      <c r="G11" s="17" t="s">
        <v>137</v>
      </c>
      <c r="H11" s="18"/>
    </row>
    <row r="13" customFormat="false" ht="15" hidden="false" customHeight="false" outlineLevel="0" collapsed="false">
      <c r="A13" s="3" t="s">
        <v>143</v>
      </c>
      <c r="D13" s="3" t="n">
        <f aca="false">COUNTIF(G2:G11,"Có")</f>
        <v>0</v>
      </c>
    </row>
    <row r="14" customFormat="false" ht="15" hidden="false" customHeight="false" outlineLevel="0" collapsed="false">
      <c r="A14" s="2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2026-10-02T03:40:32Z</dcterms:created>
  <dc:creator>openpyxl</dc:creator>
  <dc:description/>
  <dc:language>en-US</dc:language>
  <cp:lastModifiedBy/>
  <dcterms:modified xsi:type="dcterms:W3CDTF">2026-10-02T03:40:32Z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